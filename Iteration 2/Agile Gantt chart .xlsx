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8_{5FCFFA2A-1C94-4F30-8EBC-885A9A0A3AE6}" xr6:coauthVersionLast="47" xr6:coauthVersionMax="47" xr10:uidLastSave="{00000000-0000-0000-0000-000000000000}"/>
  <bookViews>
    <workbookView xWindow="2160" yWindow="3285" windowWidth="21600" windowHeight="11295" tabRatio="415"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K35" i="17"/>
  <c r="J35" i="18" l="1"/>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c r="S16" i="17" l="1"/>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33" i="17"/>
  <c r="T17" i="17"/>
  <c r="T15" i="17"/>
  <c r="T18" i="17"/>
  <c r="T23" i="17" l="1"/>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35" i="17"/>
  <c r="U31" i="17"/>
  <c r="U19" i="17"/>
  <c r="U15" i="17"/>
  <c r="U11" i="17"/>
  <c r="U17" i="17"/>
  <c r="U32" i="17" l="1"/>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V34" i="17"/>
  <c r="V30" i="17"/>
  <c r="V24" i="17"/>
  <c r="V22" i="17"/>
  <c r="V25" i="17"/>
  <c r="V16" i="17"/>
  <c r="V11" i="17"/>
  <c r="U34" i="18" l="1"/>
  <c r="V14" i="17"/>
  <c r="W7" i="17"/>
  <c r="W29"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5" i="17"/>
  <c r="W34" i="17"/>
  <c r="W33" i="17"/>
  <c r="W32" i="17"/>
  <c r="W31" i="17"/>
  <c r="W30" i="17"/>
  <c r="W27" i="17"/>
  <c r="W26" i="17"/>
  <c r="W28" i="17"/>
  <c r="W23" i="17"/>
  <c r="W22" i="17"/>
  <c r="W18" i="17"/>
  <c r="W21" i="17"/>
  <c r="W17" i="17"/>
  <c r="W16" i="17"/>
  <c r="W20" i="17"/>
  <c r="W13" i="17"/>
  <c r="W19" i="17"/>
  <c r="W12" i="17"/>
  <c r="X7" i="17"/>
  <c r="W15" i="17"/>
  <c r="W11" i="17"/>
  <c r="W9" i="17"/>
  <c r="W6" i="17"/>
  <c r="W24" i="17"/>
  <c r="W14" i="17"/>
  <c r="W25" i="17" l="1"/>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c r="X34" i="17"/>
  <c r="X33" i="17"/>
  <c r="X32" i="17"/>
  <c r="X31" i="17"/>
  <c r="X30" i="17"/>
  <c r="X26" i="17"/>
  <c r="X29" i="17"/>
  <c r="X28" i="17"/>
  <c r="X21" i="17"/>
  <c r="X17" i="17"/>
  <c r="X16" i="17"/>
  <c r="X25" i="17"/>
  <c r="X20" i="17"/>
  <c r="X27" i="17"/>
  <c r="X24" i="17"/>
  <c r="X19" i="17"/>
  <c r="X12" i="17"/>
  <c r="Y7" i="17"/>
  <c r="X23" i="17"/>
  <c r="X18" i="17"/>
  <c r="X15" i="17"/>
  <c r="X11" i="17"/>
  <c r="X9" i="17"/>
  <c r="X22" i="17"/>
  <c r="X14" i="17"/>
  <c r="X13" i="17"/>
  <c r="W18" i="18" l="1"/>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9" i="17"/>
  <c r="Y21" i="17"/>
  <c r="Y17" i="17"/>
  <c r="Y16" i="17"/>
  <c r="Y14" i="17"/>
  <c r="Y13" i="17"/>
  <c r="Z7" i="17"/>
  <c r="Y12" i="17"/>
  <c r="X13" i="18" l="1"/>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Z20" i="17"/>
  <c r="Z11" i="17"/>
  <c r="Z15" i="17"/>
  <c r="Z9" i="17"/>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A19" i="17"/>
  <c r="AA28" i="17"/>
  <c r="AA24" i="17"/>
  <c r="AA15" i="17"/>
  <c r="AA11" i="17"/>
  <c r="AA9" i="17"/>
  <c r="AA14" i="17"/>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5" i="17"/>
  <c r="AB34" i="17"/>
  <c r="AB33" i="17"/>
  <c r="AB32" i="17"/>
  <c r="AB31" i="17"/>
  <c r="AB30" i="17"/>
  <c r="AB26" i="17"/>
  <c r="AB29" i="17"/>
  <c r="AB28" i="17"/>
  <c r="AB21" i="17"/>
  <c r="AB17" i="17"/>
  <c r="AB16" i="17"/>
  <c r="AB27" i="17"/>
  <c r="AB25" i="17"/>
  <c r="AB20" i="17"/>
  <c r="AB24" i="17"/>
  <c r="AB23" i="17"/>
  <c r="AB12" i="17"/>
  <c r="AC7" i="17"/>
  <c r="AB15" i="17"/>
  <c r="AB11" i="17"/>
  <c r="AB9" i="17"/>
  <c r="AB22" i="17"/>
  <c r="AB19" i="17"/>
  <c r="AB14" i="17"/>
  <c r="AB18" i="17"/>
  <c r="AB13" i="17"/>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9" i="17"/>
  <c r="AC26" i="17"/>
  <c r="AC14" i="17"/>
  <c r="AC18" i="17"/>
  <c r="AC13" i="17"/>
  <c r="AC12" i="17"/>
  <c r="AC16" i="17"/>
  <c r="AC17" i="17"/>
  <c r="AD7" i="17"/>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D15" i="17"/>
  <c r="AD9" i="17"/>
  <c r="AD11" i="17"/>
  <c r="AC29" i="18" l="1"/>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E15" i="17"/>
  <c r="AE11" i="17"/>
  <c r="AE9" i="17"/>
  <c r="AE14" i="17"/>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F22" i="17"/>
  <c r="AF18" i="17"/>
  <c r="AF11" i="17"/>
  <c r="AF9" i="17"/>
  <c r="AF23" i="17"/>
  <c r="AF14" i="17"/>
  <c r="AF13" i="17"/>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9" i="17"/>
  <c r="AG17" i="17"/>
  <c r="AG16" i="17"/>
  <c r="AG14" i="17"/>
  <c r="AG13" i="17"/>
  <c r="AG31" i="17"/>
  <c r="AG21" i="17"/>
  <c r="AH7" i="17"/>
  <c r="AG12" i="17"/>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H9" i="17"/>
  <c r="AH11" i="17"/>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5" i="17"/>
  <c r="AI34" i="17"/>
  <c r="AI33" i="17"/>
  <c r="AI32" i="17"/>
  <c r="AI31" i="17"/>
  <c r="AI30" i="17"/>
  <c r="AI27" i="17"/>
  <c r="AI26" i="17"/>
  <c r="AI23" i="17"/>
  <c r="AI22" i="17"/>
  <c r="AI18" i="17"/>
  <c r="AI28" i="17"/>
  <c r="AI21" i="17"/>
  <c r="AI17" i="17"/>
  <c r="AI16" i="17"/>
  <c r="AI25" i="17"/>
  <c r="AI20" i="17"/>
  <c r="AI24" i="17"/>
  <c r="AI15" i="17"/>
  <c r="AI13" i="17"/>
  <c r="AI12" i="17"/>
  <c r="AJ7" i="17"/>
  <c r="AI29" i="17"/>
  <c r="AI11" i="17"/>
  <c r="AI9" i="17"/>
  <c r="AI19" i="17"/>
  <c r="AI14" i="17"/>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5" i="18" l="1"/>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35" i="18"/>
  <c r="AK19" i="18"/>
  <c r="AK22" i="18"/>
  <c r="AK16" i="18"/>
  <c r="AK15" i="18"/>
  <c r="AK9" i="18"/>
  <c r="AK6"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24" i="18" l="1"/>
  <c r="AK29" i="18"/>
  <c r="AK30" i="18"/>
  <c r="AK11" i="18"/>
  <c r="AK21" i="18"/>
  <c r="AK14" i="18"/>
  <c r="AK31" i="18"/>
  <c r="AK12" i="18"/>
  <c r="AK20" i="18"/>
  <c r="AK23" i="18"/>
  <c r="AK28" i="18"/>
  <c r="AK26" i="18"/>
  <c r="AL7" i="18"/>
  <c r="AL35" i="18" s="1"/>
  <c r="AK13" i="18"/>
  <c r="AK17" i="18"/>
  <c r="AK18" i="18"/>
  <c r="AK27" i="18"/>
  <c r="AK33" i="18"/>
  <c r="AK32" i="18"/>
  <c r="AK25" i="18"/>
  <c r="AL13" i="18"/>
  <c r="AL23" i="18"/>
  <c r="AL22" i="18"/>
  <c r="AL21" i="18"/>
  <c r="AL17" i="18"/>
  <c r="AL26" i="18"/>
  <c r="AL20" i="18"/>
  <c r="AL15"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24" i="18" l="1"/>
  <c r="AL18" i="18"/>
  <c r="AL27" i="18"/>
  <c r="AL28" i="18"/>
  <c r="AL29" i="18"/>
  <c r="AL25" i="18"/>
  <c r="AL11" i="18"/>
  <c r="AL30" i="18"/>
  <c r="AL31" i="18"/>
  <c r="AL9" i="18"/>
  <c r="AL34" i="18"/>
  <c r="AM7" i="18"/>
  <c r="AM33" i="18" s="1"/>
  <c r="AL12" i="18"/>
  <c r="AL32" i="18"/>
  <c r="AL14" i="18"/>
  <c r="AL33" i="18"/>
  <c r="AL19" i="18"/>
  <c r="AL16" i="18"/>
  <c r="AM35" i="18"/>
  <c r="AM34" i="18"/>
  <c r="AM26" i="18"/>
  <c r="AM21" i="18"/>
  <c r="AM17" i="18"/>
  <c r="AM16" i="18"/>
  <c r="AM20" i="18"/>
  <c r="AM19" i="18"/>
  <c r="AM14" i="18"/>
  <c r="AM15" i="18"/>
  <c r="AM13"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22" i="18" l="1"/>
  <c r="AM25" i="18"/>
  <c r="AM28" i="18"/>
  <c r="AM9" i="18"/>
  <c r="AM29" i="18"/>
  <c r="AM32" i="18"/>
  <c r="AM23" i="18"/>
  <c r="AM27" i="18"/>
  <c r="AM24" i="18"/>
  <c r="AM11" i="18"/>
  <c r="AM30" i="18"/>
  <c r="AM18" i="18"/>
  <c r="AM31" i="18"/>
  <c r="AN7" i="18"/>
  <c r="AN30" i="18" s="1"/>
  <c r="AM12" i="18"/>
  <c r="AN35" i="18"/>
  <c r="AN34" i="18"/>
  <c r="AN33" i="18"/>
  <c r="AN32" i="18"/>
  <c r="AN31" i="18"/>
  <c r="AN11" i="18"/>
  <c r="AN9" i="18"/>
  <c r="AN17" i="18"/>
  <c r="AN16" i="18"/>
  <c r="AN13" i="18"/>
  <c r="AN12" i="18"/>
  <c r="AO7"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N14" i="18" l="1"/>
  <c r="AN18" i="18"/>
  <c r="AN25" i="18"/>
  <c r="AN19" i="18"/>
  <c r="AN20" i="18"/>
  <c r="AN24" i="18"/>
  <c r="AN23" i="18"/>
  <c r="AN28" i="18"/>
  <c r="AN15" i="18"/>
  <c r="AN26" i="18"/>
  <c r="AN22" i="18"/>
  <c r="AN21" i="18"/>
  <c r="AN27" i="18"/>
  <c r="AN29" i="18"/>
  <c r="AO26" i="18"/>
  <c r="AO35" i="18"/>
  <c r="AO33" i="18"/>
  <c r="AO31" i="18"/>
  <c r="AO25" i="18"/>
  <c r="AO29" i="18"/>
  <c r="AO28" i="18"/>
  <c r="AO34" i="18"/>
  <c r="AO23" i="18"/>
  <c r="AO22" i="18"/>
  <c r="AO19" i="18"/>
  <c r="AO14" i="18"/>
  <c r="AO18" i="18"/>
  <c r="AO30" i="18"/>
  <c r="AO21" i="18"/>
  <c r="AO17" i="18"/>
  <c r="AO16" i="18"/>
  <c r="AO20" i="18"/>
  <c r="AO11" i="18"/>
  <c r="AO9" i="18"/>
  <c r="AO27" i="18"/>
  <c r="AO24" i="18"/>
  <c r="AO15" i="18"/>
  <c r="AO32" i="18"/>
  <c r="AO13" i="18"/>
  <c r="AO12" i="18"/>
  <c r="AP7"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P35" i="18" l="1"/>
  <c r="AP34" i="18"/>
  <c r="AP33" i="18"/>
  <c r="AP32" i="18"/>
  <c r="AP31" i="18"/>
  <c r="AP30" i="18"/>
  <c r="AP25" i="18"/>
  <c r="AP29" i="18"/>
  <c r="AP28" i="18"/>
  <c r="AP24" i="18"/>
  <c r="AP27" i="18"/>
  <c r="AP18" i="18"/>
  <c r="AP13" i="18"/>
  <c r="AP26" i="18"/>
  <c r="AP21" i="18"/>
  <c r="AP17" i="18"/>
  <c r="AP20" i="18"/>
  <c r="AP15" i="18"/>
  <c r="AP14" i="18"/>
  <c r="AP22" i="18"/>
  <c r="AP12" i="18"/>
  <c r="AQ7" i="18"/>
  <c r="AP23" i="18"/>
  <c r="AP19" i="18"/>
  <c r="AP16" i="18"/>
  <c r="AP11" i="18"/>
  <c r="AP9"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Q13" i="18"/>
  <c r="AQ11" i="18"/>
  <c r="AQ9" i="18"/>
  <c r="AQ15"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9" i="18"/>
  <c r="AR12" i="18"/>
  <c r="AS7" i="18"/>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9" i="18"/>
  <c r="AS12" i="18"/>
  <c r="AT7" i="18"/>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T11" i="18"/>
  <c r="AT9"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U18" i="18"/>
  <c r="AU11" i="18"/>
  <c r="AU9" i="18"/>
  <c r="AU13"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V9" i="18"/>
  <c r="AW7" i="18"/>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W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X9"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Y11" i="18"/>
  <c r="AY9"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A34" i="18" l="1"/>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c r="AR13" i="16" l="1"/>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16" i="16"/>
  <c r="AY35" i="16" l="1"/>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C15" i="16"/>
  <c r="BC11" i="16"/>
  <c r="BC9"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9" i="16"/>
  <c r="BD14" i="16"/>
  <c r="BE7" i="16"/>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9" i="16"/>
  <c r="BE23" i="16"/>
  <c r="BE20" i="16"/>
  <c r="BE16" i="16"/>
  <c r="BE13" i="16"/>
  <c r="BE12" i="16"/>
  <c r="BF7" i="16"/>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F21" i="16"/>
  <c r="BF17" i="16"/>
  <c r="BF11" i="16"/>
  <c r="BF9" i="16"/>
  <c r="BF15" i="16"/>
  <c r="BF14" i="16"/>
  <c r="BG35" i="16" l="1"/>
  <c r="BG34" i="16"/>
  <c r="BG33" i="16"/>
  <c r="BG32" i="16"/>
  <c r="BG31" i="16"/>
  <c r="BG30" i="16"/>
  <c r="BG29" i="16"/>
  <c r="BG28" i="16"/>
  <c r="BG27" i="16"/>
  <c r="BG26" i="16"/>
  <c r="BG25" i="16"/>
  <c r="BG21" i="16"/>
  <c r="BG17" i="16"/>
  <c r="BG16" i="16"/>
  <c r="BG22" i="16"/>
  <c r="BG19" i="16"/>
  <c r="BG20" i="16"/>
  <c r="BG23" i="16"/>
  <c r="BG12" i="16"/>
  <c r="BH7" i="16"/>
  <c r="BG11" i="16"/>
  <c r="BG9" i="16"/>
  <c r="BG24" i="16"/>
  <c r="BG18" i="16"/>
  <c r="BG15" i="16"/>
  <c r="BG14" i="16"/>
  <c r="BG13" i="16"/>
  <c r="BH35" i="16" l="1"/>
  <c r="BH34" i="16"/>
  <c r="BH33" i="16"/>
  <c r="BH32" i="16"/>
  <c r="BH31" i="16"/>
  <c r="BH30" i="16"/>
  <c r="BH27" i="16"/>
  <c r="BH26" i="16"/>
  <c r="BH25" i="16"/>
  <c r="BH29" i="16"/>
  <c r="BH20" i="16"/>
  <c r="BH15" i="16"/>
  <c r="BH23" i="16"/>
  <c r="BH24" i="16"/>
  <c r="BH21" i="16"/>
  <c r="BH28" i="16"/>
  <c r="BH11" i="16"/>
  <c r="BH9" i="16"/>
  <c r="BI7" i="16"/>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I9" i="16"/>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<sst xmlns="http://schemas.openxmlformats.org/spreadsheetml/2006/main" count="177" uniqueCount="37">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</sst>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abSelected="1" zoomScaleNormal="100" workbookViewId="0"/>
  </sheetViews>
  <sheetFormatPr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107"/>
    </row>
    <row r="2" spans="1:13" ht="50.1" customHeight="1" x14ac:dyDescent="0.4">
      <c r="A2" s="7"/>
      <c r="B2" s="113"/>
      <c r="C2" s="124" t="s">
        <v>34</v>
      </c>
      <c r="D2" s="124"/>
      <c r="E2" s="124"/>
      <c r="F2" s="113"/>
      <c r="G2" s="7"/>
      <c r="H2" s="7"/>
      <c r="I2" s="7"/>
      <c r="J2" s="7"/>
      <c r="K2" s="7"/>
      <c r="L2" s="7"/>
      <c r="M2" s="7"/>
    </row>
    <row r="3" spans="1:13" ht="14.45" customHeight="1" x14ac:dyDescent="0.4">
      <c r="A3" s="7"/>
      <c r="B3" s="108"/>
      <c r="C3" s="109"/>
      <c r="D3" s="110"/>
      <c r="E3" s="108"/>
      <c r="F3" s="108"/>
      <c r="G3" s="7"/>
      <c r="H3" s="7"/>
      <c r="I3" s="7"/>
      <c r="J3" s="7"/>
      <c r="K3" s="7"/>
      <c r="L3" s="7"/>
      <c r="M3" s="7"/>
    </row>
    <row r="4" spans="1:13" s="8" customFormat="1" ht="67.150000000000006" customHeight="1" x14ac:dyDescent="0.4">
      <c r="A4" s="7"/>
      <c r="B4" s="108"/>
      <c r="C4" s="125" t="s">
        <v>35</v>
      </c>
      <c r="D4" s="125"/>
      <c r="E4" s="125"/>
      <c r="F4" s="108"/>
      <c r="G4" s="7"/>
      <c r="H4" s="7"/>
      <c r="I4" s="7"/>
      <c r="J4" s="7"/>
      <c r="K4" s="7"/>
      <c r="L4" s="7"/>
      <c r="M4" s="7"/>
    </row>
    <row r="5" spans="1:13" s="8" customFormat="1" ht="67.150000000000006" customHeight="1" x14ac:dyDescent="0.4">
      <c r="A5" s="7"/>
      <c r="B5" s="108"/>
      <c r="C5" s="125" t="s">
        <v>36</v>
      </c>
      <c r="D5" s="125"/>
      <c r="E5" s="125"/>
      <c r="F5" s="108"/>
      <c r="G5" s="7"/>
      <c r="H5" s="7"/>
      <c r="I5" s="7"/>
      <c r="J5" s="7"/>
      <c r="K5" s="7"/>
      <c r="L5" s="7"/>
      <c r="M5" s="7"/>
    </row>
    <row r="6" spans="1:13" ht="15" x14ac:dyDescent="0.25">
      <c r="A6" s="6"/>
      <c r="B6" s="111"/>
      <c r="C6" s="111"/>
      <c r="D6" s="112"/>
      <c r="E6" s="111"/>
      <c r="F6" s="111"/>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28" t="s">
        <v>5</v>
      </c>
      <c r="C2" s="128"/>
      <c r="D2" s="128"/>
      <c r="E2" s="128"/>
      <c r="F2" s="128"/>
      <c r="G2" s="128"/>
      <c r="H2" s="128"/>
      <c r="I2" s="129"/>
      <c r="J2" s="129"/>
      <c r="K2" s="129"/>
      <c r="L2" s="129"/>
      <c r="M2" s="129"/>
      <c r="N2" s="129"/>
      <c r="O2" s="130"/>
      <c r="P2" s="130"/>
      <c r="Q2" s="130"/>
      <c r="R2" s="130"/>
      <c r="S2" s="130"/>
      <c r="T2" s="130"/>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899999999999999" customHeight="1" x14ac:dyDescent="0.25">
      <c r="A3" s="10"/>
      <c r="B3" s="68"/>
      <c r="C3" s="69"/>
      <c r="D3" s="70"/>
      <c r="E3" s="70"/>
      <c r="F3" s="71"/>
      <c r="G3" s="70"/>
      <c r="H3" s="70"/>
      <c r="I3" s="84"/>
      <c r="J3" s="1"/>
      <c r="K3" s="1"/>
      <c r="L3" s="1"/>
    </row>
    <row r="4" spans="1:68" ht="30" customHeight="1" x14ac:dyDescent="0.25">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25">
      <c r="A5" s="10"/>
      <c r="B5" s="78" t="s">
        <v>21</v>
      </c>
      <c r="C5" s="74"/>
      <c r="D5" s="74"/>
      <c r="E5" s="75"/>
      <c r="F5" s="76"/>
      <c r="G5" s="75"/>
      <c r="H5" s="75"/>
    </row>
    <row r="6" spans="1:68" ht="30" customHeight="1" x14ac:dyDescent="0.35">
      <c r="A6" s="10"/>
      <c r="B6" s="79" t="s">
        <v>17</v>
      </c>
      <c r="C6" s="80" cm="1">
        <f t="array" aca="1" ref="C6" ca="1">IFERROR(IF(MIN(Milestones4352[Start])=0,TODAY(),B11(Milestones4352[Start])),TODAY())</f>
        <v>46112</v>
      </c>
      <c r="D6" s="81"/>
      <c r="E6" s="75"/>
      <c r="F6" s="76"/>
      <c r="G6" s="75"/>
      <c r="H6" s="75"/>
      <c r="I6" s="91" t="str">
        <f ca="1">TEXT(I7,"mmmm")</f>
        <v>April</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May</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25">
      <c r="A7" s="10"/>
      <c r="B7" s="79" t="s">
        <v>12</v>
      </c>
      <c r="C7" s="82">
        <v>1</v>
      </c>
      <c r="D7" s="74"/>
      <c r="E7" s="75"/>
      <c r="F7" s="75"/>
      <c r="G7" s="75"/>
      <c r="H7" s="83"/>
      <c r="I7" s="98">
        <f ca="1">IFERROR(Project_Start+Scrolling_Increment,TODAY())</f>
        <v>46113</v>
      </c>
      <c r="J7" s="99">
        <f ca="1">I7+1</f>
        <v>46114</v>
      </c>
      <c r="K7" s="99">
        <f t="shared" ref="K7:AX7" ca="1" si="0">J7+1</f>
        <v>46115</v>
      </c>
      <c r="L7" s="99">
        <f t="shared" ca="1" si="0"/>
        <v>46116</v>
      </c>
      <c r="M7" s="99">
        <f t="shared" ca="1" si="0"/>
        <v>46117</v>
      </c>
      <c r="N7" s="99">
        <f t="shared" ca="1" si="0"/>
        <v>46118</v>
      </c>
      <c r="O7" s="100">
        <f t="shared" ca="1" si="0"/>
        <v>46119</v>
      </c>
      <c r="P7" s="99">
        <f ca="1">O7+1</f>
        <v>46120</v>
      </c>
      <c r="Q7" s="99">
        <f ca="1">P7+1</f>
        <v>46121</v>
      </c>
      <c r="R7" s="99">
        <f t="shared" ca="1" si="0"/>
        <v>46122</v>
      </c>
      <c r="S7" s="99">
        <f t="shared" ca="1" si="0"/>
        <v>46123</v>
      </c>
      <c r="T7" s="99">
        <f t="shared" ca="1" si="0"/>
        <v>46124</v>
      </c>
      <c r="U7" s="99">
        <f t="shared" ca="1" si="0"/>
        <v>46125</v>
      </c>
      <c r="V7" s="100">
        <f t="shared" ca="1" si="0"/>
        <v>46126</v>
      </c>
      <c r="W7" s="99">
        <f ca="1">V7+1</f>
        <v>46127</v>
      </c>
      <c r="X7" s="99">
        <f ca="1">W7+1</f>
        <v>46128</v>
      </c>
      <c r="Y7" s="99">
        <f t="shared" ca="1" si="0"/>
        <v>46129</v>
      </c>
      <c r="Z7" s="99">
        <f t="shared" ca="1" si="0"/>
        <v>46130</v>
      </c>
      <c r="AA7" s="99">
        <f t="shared" ca="1" si="0"/>
        <v>46131</v>
      </c>
      <c r="AB7" s="99">
        <f t="shared" ca="1" si="0"/>
        <v>46132</v>
      </c>
      <c r="AC7" s="100">
        <f t="shared" ca="1" si="0"/>
        <v>46133</v>
      </c>
      <c r="AD7" s="99">
        <f ca="1">AC7+1</f>
        <v>46134</v>
      </c>
      <c r="AE7" s="99">
        <f ca="1">AD7+1</f>
        <v>46135</v>
      </c>
      <c r="AF7" s="99">
        <f t="shared" ca="1" si="0"/>
        <v>46136</v>
      </c>
      <c r="AG7" s="99">
        <f t="shared" ca="1" si="0"/>
        <v>46137</v>
      </c>
      <c r="AH7" s="99">
        <f t="shared" ca="1" si="0"/>
        <v>46138</v>
      </c>
      <c r="AI7" s="99">
        <f t="shared" ca="1" si="0"/>
        <v>46139</v>
      </c>
      <c r="AJ7" s="100">
        <f t="shared" ca="1" si="0"/>
        <v>46140</v>
      </c>
      <c r="AK7" s="99">
        <f ca="1">AJ7+1</f>
        <v>46141</v>
      </c>
      <c r="AL7" s="99">
        <f ca="1">AK7+1</f>
        <v>46142</v>
      </c>
      <c r="AM7" s="99">
        <f t="shared" ca="1" si="0"/>
        <v>46143</v>
      </c>
      <c r="AN7" s="99">
        <f t="shared" ca="1" si="0"/>
        <v>46144</v>
      </c>
      <c r="AO7" s="99">
        <f t="shared" ca="1" si="0"/>
        <v>46145</v>
      </c>
      <c r="AP7" s="99">
        <f t="shared" ca="1" si="0"/>
        <v>46146</v>
      </c>
      <c r="AQ7" s="100">
        <f t="shared" ca="1" si="0"/>
        <v>46147</v>
      </c>
      <c r="AR7" s="99">
        <f ca="1">AQ7+1</f>
        <v>46148</v>
      </c>
      <c r="AS7" s="99">
        <f ca="1">AR7+1</f>
        <v>46149</v>
      </c>
      <c r="AT7" s="99">
        <f t="shared" ca="1" si="0"/>
        <v>46150</v>
      </c>
      <c r="AU7" s="99">
        <f t="shared" ca="1" si="0"/>
        <v>46151</v>
      </c>
      <c r="AV7" s="99">
        <f t="shared" ca="1" si="0"/>
        <v>46152</v>
      </c>
      <c r="AW7" s="99">
        <f t="shared" ca="1" si="0"/>
        <v>46153</v>
      </c>
      <c r="AX7" s="100">
        <f t="shared" ca="1" si="0"/>
        <v>46154</v>
      </c>
      <c r="AY7" s="99">
        <f ca="1">AX7+1</f>
        <v>46155</v>
      </c>
      <c r="AZ7" s="99">
        <f ca="1">AY7+1</f>
        <v>46156</v>
      </c>
      <c r="BA7" s="99">
        <f t="shared" ref="BA7:BE7" ca="1" si="1">AZ7+1</f>
        <v>46157</v>
      </c>
      <c r="BB7" s="99">
        <f t="shared" ca="1" si="1"/>
        <v>46158</v>
      </c>
      <c r="BC7" s="99">
        <f t="shared" ca="1" si="1"/>
        <v>46159</v>
      </c>
      <c r="BD7" s="99">
        <f t="shared" ca="1" si="1"/>
        <v>46160</v>
      </c>
      <c r="BE7" s="100">
        <f t="shared" ca="1" si="1"/>
        <v>46161</v>
      </c>
      <c r="BF7" s="99">
        <f ca="1">BE7+1</f>
        <v>46162</v>
      </c>
      <c r="BG7" s="99">
        <f ca="1">BF7+1</f>
        <v>46163</v>
      </c>
      <c r="BH7" s="99">
        <f t="shared" ref="BH7:BL7" ca="1" si="2">BG7+1</f>
        <v>46164</v>
      </c>
      <c r="BI7" s="99">
        <f t="shared" ca="1" si="2"/>
        <v>46165</v>
      </c>
      <c r="BJ7" s="99">
        <f t="shared" ca="1" si="2"/>
        <v>46166</v>
      </c>
      <c r="BK7" s="99">
        <f t="shared" ca="1" si="2"/>
        <v>46167</v>
      </c>
      <c r="BL7" s="100">
        <f t="shared" ca="1" si="2"/>
        <v>46168</v>
      </c>
    </row>
    <row r="8" spans="1:68" ht="19.899999999999999" customHeight="1" x14ac:dyDescent="0.25">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x14ac:dyDescent="0.25">
      <c r="A9" s="10"/>
      <c r="B9" s="114" t="s">
        <v>23</v>
      </c>
      <c r="C9" s="115" t="s">
        <v>7</v>
      </c>
      <c r="D9" s="115" t="s">
        <v>24</v>
      </c>
      <c r="E9" s="115" t="s">
        <v>10</v>
      </c>
      <c r="F9" s="115" t="s">
        <v>11</v>
      </c>
      <c r="G9" s="115" t="s">
        <v>25</v>
      </c>
      <c r="H9" s="88"/>
      <c r="I9" s="106" t="str">
        <f t="shared" ref="I9:BL9" ca="1" si="3">LEFT(TEXT(I7,"ddd"),1)</f>
        <v>W</v>
      </c>
      <c r="J9" s="106" t="str">
        <f t="shared" ca="1" si="3"/>
        <v>T</v>
      </c>
      <c r="K9" s="106" t="str">
        <f t="shared" ca="1" si="3"/>
        <v>F</v>
      </c>
      <c r="L9" s="106" t="str">
        <f t="shared" ca="1" si="3"/>
        <v>S</v>
      </c>
      <c r="M9" s="106" t="str">
        <f t="shared" ca="1" si="3"/>
        <v>S</v>
      </c>
      <c r="N9" s="106" t="str">
        <f t="shared" ca="1" si="3"/>
        <v>M</v>
      </c>
      <c r="O9" s="106" t="str">
        <f t="shared" ca="1" si="3"/>
        <v>T</v>
      </c>
      <c r="P9" s="106" t="str">
        <f t="shared" ca="1" si="3"/>
        <v>W</v>
      </c>
      <c r="Q9" s="106" t="str">
        <f t="shared" ca="1" si="3"/>
        <v>T</v>
      </c>
      <c r="R9" s="106" t="str">
        <f t="shared" ca="1" si="3"/>
        <v>F</v>
      </c>
      <c r="S9" s="106" t="str">
        <f t="shared" ca="1" si="3"/>
        <v>S</v>
      </c>
      <c r="T9" s="106" t="str">
        <f t="shared" ca="1" si="3"/>
        <v>S</v>
      </c>
      <c r="U9" s="106" t="str">
        <f t="shared" ca="1" si="3"/>
        <v>M</v>
      </c>
      <c r="V9" s="106" t="str">
        <f t="shared" ca="1" si="3"/>
        <v>T</v>
      </c>
      <c r="W9" s="106" t="str">
        <f t="shared" ca="1" si="3"/>
        <v>W</v>
      </c>
      <c r="X9" s="106" t="str">
        <f t="shared" ca="1" si="3"/>
        <v>T</v>
      </c>
      <c r="Y9" s="106" t="str">
        <f t="shared" ca="1" si="3"/>
        <v>F</v>
      </c>
      <c r="Z9" s="106" t="str">
        <f t="shared" ca="1" si="3"/>
        <v>S</v>
      </c>
      <c r="AA9" s="106" t="str">
        <f t="shared" ca="1" si="3"/>
        <v>S</v>
      </c>
      <c r="AB9" s="106" t="str">
        <f t="shared" ca="1" si="3"/>
        <v>M</v>
      </c>
      <c r="AC9" s="106" t="str">
        <f t="shared" ca="1" si="3"/>
        <v>T</v>
      </c>
      <c r="AD9" s="106" t="str">
        <f t="shared" ca="1" si="3"/>
        <v>W</v>
      </c>
      <c r="AE9" s="106" t="str">
        <f t="shared" ca="1" si="3"/>
        <v>T</v>
      </c>
      <c r="AF9" s="106" t="str">
        <f t="shared" ca="1" si="3"/>
        <v>F</v>
      </c>
      <c r="AG9" s="106" t="str">
        <f t="shared" ca="1" si="3"/>
        <v>S</v>
      </c>
      <c r="AH9" s="106" t="str">
        <f t="shared" ca="1" si="3"/>
        <v>S</v>
      </c>
      <c r="AI9" s="106" t="str">
        <f t="shared" ca="1" si="3"/>
        <v>M</v>
      </c>
      <c r="AJ9" s="106" t="str">
        <f t="shared" ca="1" si="3"/>
        <v>T</v>
      </c>
      <c r="AK9" s="106" t="str">
        <f t="shared" ca="1" si="3"/>
        <v>W</v>
      </c>
      <c r="AL9" s="106" t="str">
        <f t="shared" ca="1" si="3"/>
        <v>T</v>
      </c>
      <c r="AM9" s="106" t="str">
        <f t="shared" ca="1" si="3"/>
        <v>F</v>
      </c>
      <c r="AN9" s="106" t="str">
        <f t="shared" ca="1" si="3"/>
        <v>S</v>
      </c>
      <c r="AO9" s="106" t="str">
        <f t="shared" ca="1" si="3"/>
        <v>S</v>
      </c>
      <c r="AP9" s="106" t="str">
        <f t="shared" ca="1" si="3"/>
        <v>M</v>
      </c>
      <c r="AQ9" s="106" t="str">
        <f t="shared" ca="1" si="3"/>
        <v>T</v>
      </c>
      <c r="AR9" s="106" t="str">
        <f t="shared" ca="1" si="3"/>
        <v>W</v>
      </c>
      <c r="AS9" s="106" t="str">
        <f t="shared" ca="1" si="3"/>
        <v>T</v>
      </c>
      <c r="AT9" s="106" t="str">
        <f t="shared" ca="1" si="3"/>
        <v>F</v>
      </c>
      <c r="AU9" s="106" t="str">
        <f t="shared" ca="1" si="3"/>
        <v>S</v>
      </c>
      <c r="AV9" s="106" t="str">
        <f t="shared" ca="1" si="3"/>
        <v>S</v>
      </c>
      <c r="AW9" s="106" t="str">
        <f t="shared" ca="1" si="3"/>
        <v>M</v>
      </c>
      <c r="AX9" s="106" t="str">
        <f t="shared" ca="1" si="3"/>
        <v>T</v>
      </c>
      <c r="AY9" s="106" t="str">
        <f t="shared" ca="1" si="3"/>
        <v>W</v>
      </c>
      <c r="AZ9" s="106" t="str">
        <f t="shared" ca="1" si="3"/>
        <v>T</v>
      </c>
      <c r="BA9" s="106" t="str">
        <f t="shared" ca="1" si="3"/>
        <v>F</v>
      </c>
      <c r="BB9" s="106" t="str">
        <f t="shared" ca="1" si="3"/>
        <v>S</v>
      </c>
      <c r="BC9" s="106" t="str">
        <f t="shared" ca="1" si="3"/>
        <v>S</v>
      </c>
      <c r="BD9" s="106" t="str">
        <f t="shared" ca="1" si="3"/>
        <v>M</v>
      </c>
      <c r="BE9" s="106" t="str">
        <f t="shared" ca="1" si="3"/>
        <v>T</v>
      </c>
      <c r="BF9" s="106" t="str">
        <f t="shared" ca="1" si="3"/>
        <v>W</v>
      </c>
      <c r="BG9" s="106" t="str">
        <f t="shared" ca="1" si="3"/>
        <v>T</v>
      </c>
      <c r="BH9" s="106" t="str">
        <f t="shared" ca="1" si="3"/>
        <v>F</v>
      </c>
      <c r="BI9" s="106" t="str">
        <f t="shared" ca="1" si="3"/>
        <v>S</v>
      </c>
      <c r="BJ9" s="106" t="str">
        <f t="shared" ca="1" si="3"/>
        <v>S</v>
      </c>
      <c r="BK9" s="106" t="str">
        <f t="shared" ca="1" si="3"/>
        <v>M</v>
      </c>
      <c r="BL9" s="106" t="str">
        <f t="shared" ca="1" si="3"/>
        <v>T</v>
      </c>
    </row>
    <row r="10" spans="1:68" ht="30" hidden="1" customHeight="1" thickBot="1" x14ac:dyDescent="0.3">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25">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25">
      <c r="A12" s="10"/>
      <c r="B12" s="63" t="s">
        <v>3</v>
      </c>
      <c r="C12" s="59" t="s">
        <v>8</v>
      </c>
      <c r="D12" s="59" t="s">
        <v>6</v>
      </c>
      <c r="E12" s="60">
        <v>0.25</v>
      </c>
      <c r="F12" s="61">
        <f ca="1">TODAY()</f>
        <v>46112</v>
      </c>
      <c r="G12" s="62">
        <v>3</v>
      </c>
      <c r="H12" s="59"/>
      <c r="I12" s="26">
        <f ca="1">IF(AND($C12="Goal",I$7&gt;=$F12,I$7&lt;=$F12+$G12-1),2,IF(AND($C12="Milestone",I$7&gt;=$F12,I$7&lt;=$F12+$G12-1),1,""))</f>
        <v>2</v>
      </c>
      <c r="J12" s="26">
        <f t="shared" ca="1" si="4"/>
        <v>2</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25">
      <c r="A13" s="10"/>
      <c r="B13" s="63" t="s">
        <v>4</v>
      </c>
      <c r="C13" s="59" t="s">
        <v>9</v>
      </c>
      <c r="D13" s="59"/>
      <c r="E13" s="60"/>
      <c r="F13" s="61">
        <f ca="1">TODAY()+5</f>
        <v>46117</v>
      </c>
      <c r="G13" s="62">
        <v>1</v>
      </c>
      <c r="H13" s="59"/>
      <c r="I13" s="26" t="str">
        <f t="shared" ref="I13:X28" ca="1" si="8">IF(AND($C13="Goal",I$7&gt;=$F13,I$7&lt;=$F13+$G13-1),2,IF(AND($C13="Milestone",I$7&gt;=$F13,I$7&lt;=$F13+$G13-1),1,""))</f>
        <v/>
      </c>
      <c r="J13" s="26" t="str">
        <f t="shared" ca="1" si="4"/>
        <v/>
      </c>
      <c r="K13" s="26" t="str">
        <f t="shared" ca="1" si="4"/>
        <v/>
      </c>
      <c r="L13" s="26" t="str">
        <f t="shared" ca="1" si="4"/>
        <v/>
      </c>
      <c r="M13" s="26">
        <f t="shared" ca="1" si="4"/>
        <v>1</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25">
      <c r="A14" s="9"/>
      <c r="B14" s="63" t="s">
        <v>0</v>
      </c>
      <c r="C14" s="59" t="s">
        <v>14</v>
      </c>
      <c r="D14" s="59"/>
      <c r="E14" s="60">
        <v>0.5</v>
      </c>
      <c r="F14" s="61">
        <f ca="1">F12-3</f>
        <v>46109</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25">
      <c r="A15" s="9"/>
      <c r="B15" s="63" t="s">
        <v>1</v>
      </c>
      <c r="C15" s="59" t="s">
        <v>9</v>
      </c>
      <c r="D15" s="59"/>
      <c r="E15" s="60"/>
      <c r="F15" s="61">
        <f ca="1">F12+20</f>
        <v>46132</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f t="shared" ca="1" si="5"/>
        <v>1</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25">
      <c r="A16" s="9"/>
      <c r="B16" s="63" t="s">
        <v>2</v>
      </c>
      <c r="C16" s="59" t="s">
        <v>13</v>
      </c>
      <c r="D16" s="59"/>
      <c r="E16" s="60">
        <v>0.1</v>
      </c>
      <c r="F16" s="61">
        <f ca="1">F12+6</f>
        <v>46118</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25">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25">
      <c r="A18" s="10"/>
      <c r="B18" s="63" t="s">
        <v>3</v>
      </c>
      <c r="C18" s="59" t="s">
        <v>15</v>
      </c>
      <c r="D18" s="59"/>
      <c r="E18" s="60">
        <v>0.6</v>
      </c>
      <c r="F18" s="61">
        <f ca="1">F12+6</f>
        <v>46118</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25">
      <c r="A19" s="9"/>
      <c r="B19" s="63" t="s">
        <v>4</v>
      </c>
      <c r="C19" s="59" t="s">
        <v>16</v>
      </c>
      <c r="D19" s="59"/>
      <c r="E19" s="60">
        <v>0.5</v>
      </c>
      <c r="F19" s="61">
        <f ca="1">F18+2</f>
        <v>46120</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25">
      <c r="A20" s="9"/>
      <c r="B20" s="63" t="s">
        <v>0</v>
      </c>
      <c r="C20" s="59" t="s">
        <v>14</v>
      </c>
      <c r="D20" s="59"/>
      <c r="E20" s="60">
        <v>0.33</v>
      </c>
      <c r="F20" s="61">
        <f ca="1">F19+5</f>
        <v>46125</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25">
      <c r="A21" s="9"/>
      <c r="B21" s="63" t="s">
        <v>1</v>
      </c>
      <c r="C21" s="59" t="s">
        <v>9</v>
      </c>
      <c r="D21" s="59"/>
      <c r="E21" s="60"/>
      <c r="F21" s="61">
        <f ca="1">F20+2</f>
        <v>46127</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f t="shared" ca="1" si="4"/>
        <v>1</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25">
      <c r="A22" s="9"/>
      <c r="B22" s="63" t="s">
        <v>2</v>
      </c>
      <c r="C22" s="59"/>
      <c r="D22" s="59"/>
      <c r="E22" s="60"/>
      <c r="F22" s="61">
        <f ca="1">F21+1</f>
        <v>46128</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25">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25">
      <c r="A24" s="9"/>
      <c r="B24" s="63" t="s">
        <v>3</v>
      </c>
      <c r="C24" s="59" t="s">
        <v>16</v>
      </c>
      <c r="D24" s="59"/>
      <c r="E24" s="60"/>
      <c r="F24" s="61">
        <f ca="1">F12+15</f>
        <v>46127</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25">
      <c r="A25" s="9"/>
      <c r="B25" s="63" t="s">
        <v>4</v>
      </c>
      <c r="C25" s="59" t="s">
        <v>13</v>
      </c>
      <c r="D25" s="59"/>
      <c r="E25" s="60"/>
      <c r="F25" s="61">
        <f ca="1">F24+3</f>
        <v>46130</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25">
      <c r="A26" s="9"/>
      <c r="B26" s="63" t="s">
        <v>0</v>
      </c>
      <c r="C26" s="59" t="s">
        <v>16</v>
      </c>
      <c r="D26" s="59"/>
      <c r="E26" s="60"/>
      <c r="F26" s="61">
        <f ca="1">F25+15</f>
        <v>46145</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25">
      <c r="A27" s="9"/>
      <c r="B27" s="63" t="s">
        <v>1</v>
      </c>
      <c r="C27" s="59" t="s">
        <v>8</v>
      </c>
      <c r="D27" s="59"/>
      <c r="E27" s="60"/>
      <c r="F27" s="61">
        <f ca="1">F21+22</f>
        <v>46149</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f t="shared" ca="1" si="9"/>
        <v>2</v>
      </c>
      <c r="AT27" s="26">
        <f t="shared" ca="1" si="9"/>
        <v>2</v>
      </c>
      <c r="AU27" s="26">
        <f t="shared" ca="1" si="9"/>
        <v>2</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25">
      <c r="A28" s="9"/>
      <c r="B28" s="63" t="s">
        <v>2</v>
      </c>
      <c r="C28" s="59" t="s">
        <v>14</v>
      </c>
      <c r="D28" s="59"/>
      <c r="E28" s="60"/>
      <c r="F28" s="61">
        <f ca="1">F16</f>
        <v>46118</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25">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25">
      <c r="A30" s="9"/>
      <c r="B30" s="63" t="s">
        <v>3</v>
      </c>
      <c r="C30" s="59"/>
      <c r="D30" s="59"/>
      <c r="E30" s="60"/>
      <c r="F30" s="61">
        <f ca="1">F27+3</f>
        <v>46152</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25">
      <c r="A31" s="9"/>
      <c r="B31" s="63" t="s">
        <v>4</v>
      </c>
      <c r="C31" s="59"/>
      <c r="D31" s="59"/>
      <c r="E31" s="60"/>
      <c r="F31" s="61">
        <f ca="1">F30+14</f>
        <v>46166</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25">
      <c r="A32" s="9"/>
      <c r="B32" s="63" t="s">
        <v>0</v>
      </c>
      <c r="C32" s="59" t="s">
        <v>9</v>
      </c>
      <c r="D32" s="59"/>
      <c r="E32" s="60"/>
      <c r="F32" s="61">
        <f ca="1">F31+42</f>
        <v>46208</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25">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25">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25">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15" customHeight="1" x14ac:dyDescent="0.25">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4" t="s">
        <v>5</v>
      </c>
      <c r="C2" s="134"/>
      <c r="D2" s="134"/>
      <c r="E2" s="134"/>
      <c r="F2" s="134"/>
      <c r="G2" s="134"/>
      <c r="H2" s="134"/>
      <c r="I2" s="135"/>
      <c r="J2" s="135"/>
      <c r="K2" s="135"/>
      <c r="L2" s="135"/>
      <c r="M2" s="135"/>
      <c r="N2" s="135"/>
      <c r="O2" s="136"/>
      <c r="P2" s="137"/>
      <c r="Q2" s="137"/>
      <c r="R2" s="137"/>
      <c r="S2" s="137"/>
      <c r="T2" s="137"/>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25">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25">
      <c r="A4" s="10"/>
      <c r="B4" s="54" t="s">
        <v>22</v>
      </c>
      <c r="C4" s="50"/>
      <c r="D4" s="51"/>
      <c r="E4" s="29"/>
      <c r="F4" s="30"/>
      <c r="G4" s="31" t="s">
        <v>18</v>
      </c>
      <c r="H4" s="29"/>
      <c r="I4" s="131" t="s">
        <v>26</v>
      </c>
      <c r="J4" s="131"/>
      <c r="K4" s="131"/>
      <c r="L4" s="131"/>
      <c r="M4" s="32"/>
      <c r="N4" s="132" t="s">
        <v>27</v>
      </c>
      <c r="O4" s="132"/>
      <c r="P4" s="132"/>
      <c r="Q4" s="132"/>
      <c r="R4" s="32"/>
      <c r="S4" s="133" t="s">
        <v>28</v>
      </c>
      <c r="T4" s="133"/>
      <c r="U4" s="133"/>
      <c r="V4" s="133"/>
      <c r="W4" s="32"/>
      <c r="X4" s="126" t="s">
        <v>29</v>
      </c>
      <c r="Y4" s="126"/>
      <c r="Z4" s="126"/>
      <c r="AA4" s="126"/>
      <c r="AB4" s="32"/>
      <c r="AC4" s="127" t="s">
        <v>19</v>
      </c>
      <c r="AD4" s="127"/>
      <c r="AE4" s="127"/>
      <c r="AF4" s="127"/>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25">
      <c r="A5" s="10"/>
      <c r="B5" s="55" t="s">
        <v>21</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35">
      <c r="A6" s="10"/>
      <c r="B6" s="49" t="s">
        <v>17</v>
      </c>
      <c r="C6" s="34" cm="1">
        <f t="array" aca="1" ref="C6" ca="1">IFERROR(IF(MIN(Milestones435[Start])=0,TODAY(),B11(Milestones435[Start])),TODAY())</f>
        <v>46112</v>
      </c>
      <c r="D6" s="53"/>
      <c r="E6" s="32"/>
      <c r="F6" s="33"/>
      <c r="G6" s="32"/>
      <c r="H6" s="29"/>
      <c r="I6" s="94" t="str">
        <f ca="1">TEXT(I7,"mmmm")</f>
        <v>April</v>
      </c>
      <c r="J6" s="94"/>
      <c r="K6" s="94"/>
      <c r="L6" s="94"/>
      <c r="M6" s="94"/>
      <c r="N6" s="94"/>
      <c r="O6" s="94"/>
      <c r="P6" s="94" t="str">
        <f ca="1">IF(TEXT(P7,"mmmm")=I6,"",TEXT(P7,"mmmm"))</f>
        <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
      </c>
      <c r="AL6" s="94"/>
      <c r="AM6" s="94"/>
      <c r="AN6" s="94"/>
      <c r="AO6" s="94"/>
      <c r="AP6" s="94"/>
      <c r="AQ6" s="94"/>
      <c r="AR6" s="94" t="str">
        <f ca="1">IF(OR(TEXT(AR7,"mmmm")=AK6,TEXT(AR7,"mmmm")=AD6,TEXT(AR7,"mmmm")=W6,TEXT(AR7,"mmmm")=P6),"",TEXT(AR7,"mmmm"))</f>
        <v>May</v>
      </c>
      <c r="AS6" s="94"/>
      <c r="AT6" s="94"/>
      <c r="AU6" s="94"/>
      <c r="AV6" s="94"/>
      <c r="AW6" s="94"/>
      <c r="AX6" s="94"/>
      <c r="AY6" s="94" t="str">
        <f ca="1">IF(OR(TEXT(AY7,"mmmm")=AR6,TEXT(AY7,"mmmm")=AK6,TEXT(AY7,"mmmm")=AD6,TEXT(AY7,"mmmm")=W6),"",TEXT(AY7,"mmmm"))</f>
        <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x14ac:dyDescent="0.25">
      <c r="A7" s="10"/>
      <c r="B7" s="49" t="s">
        <v>12</v>
      </c>
      <c r="C7" s="35">
        <v>1</v>
      </c>
      <c r="D7" s="52"/>
      <c r="E7" s="29"/>
      <c r="F7" s="29"/>
      <c r="G7" s="29"/>
      <c r="H7" s="29"/>
      <c r="I7" s="96">
        <f ca="1">IFERROR(Project_Start+Scrolling_Increment,TODAY())</f>
        <v>46113</v>
      </c>
      <c r="J7" s="17">
        <f ca="1">I7+1</f>
        <v>46114</v>
      </c>
      <c r="K7" s="17">
        <f t="shared" ref="K7:AX7" ca="1" si="0">J7+1</f>
        <v>46115</v>
      </c>
      <c r="L7" s="17">
        <f t="shared" ca="1" si="0"/>
        <v>46116</v>
      </c>
      <c r="M7" s="17">
        <f t="shared" ca="1" si="0"/>
        <v>46117</v>
      </c>
      <c r="N7" s="17">
        <f t="shared" ca="1" si="0"/>
        <v>46118</v>
      </c>
      <c r="O7" s="64">
        <f t="shared" ca="1" si="0"/>
        <v>46119</v>
      </c>
      <c r="P7" s="17">
        <f ca="1">O7+1</f>
        <v>46120</v>
      </c>
      <c r="Q7" s="17">
        <f ca="1">P7+1</f>
        <v>46121</v>
      </c>
      <c r="R7" s="17">
        <f t="shared" ca="1" si="0"/>
        <v>46122</v>
      </c>
      <c r="S7" s="17">
        <f t="shared" ca="1" si="0"/>
        <v>46123</v>
      </c>
      <c r="T7" s="17">
        <f t="shared" ca="1" si="0"/>
        <v>46124</v>
      </c>
      <c r="U7" s="17">
        <f t="shared" ca="1" si="0"/>
        <v>46125</v>
      </c>
      <c r="V7" s="64">
        <f t="shared" ca="1" si="0"/>
        <v>46126</v>
      </c>
      <c r="W7" s="17">
        <f ca="1">V7+1</f>
        <v>46127</v>
      </c>
      <c r="X7" s="17">
        <f ca="1">W7+1</f>
        <v>46128</v>
      </c>
      <c r="Y7" s="17">
        <f t="shared" ca="1" si="0"/>
        <v>46129</v>
      </c>
      <c r="Z7" s="17">
        <f t="shared" ca="1" si="0"/>
        <v>46130</v>
      </c>
      <c r="AA7" s="17">
        <f t="shared" ca="1" si="0"/>
        <v>46131</v>
      </c>
      <c r="AB7" s="17">
        <f t="shared" ca="1" si="0"/>
        <v>46132</v>
      </c>
      <c r="AC7" s="64">
        <f t="shared" ca="1" si="0"/>
        <v>46133</v>
      </c>
      <c r="AD7" s="17">
        <f ca="1">AC7+1</f>
        <v>46134</v>
      </c>
      <c r="AE7" s="17">
        <f ca="1">AD7+1</f>
        <v>46135</v>
      </c>
      <c r="AF7" s="17">
        <f t="shared" ca="1" si="0"/>
        <v>46136</v>
      </c>
      <c r="AG7" s="17">
        <f t="shared" ca="1" si="0"/>
        <v>46137</v>
      </c>
      <c r="AH7" s="17">
        <f t="shared" ca="1" si="0"/>
        <v>46138</v>
      </c>
      <c r="AI7" s="17">
        <f t="shared" ca="1" si="0"/>
        <v>46139</v>
      </c>
      <c r="AJ7" s="64">
        <f t="shared" ca="1" si="0"/>
        <v>46140</v>
      </c>
      <c r="AK7" s="17">
        <f ca="1">AJ7+1</f>
        <v>46141</v>
      </c>
      <c r="AL7" s="17">
        <f ca="1">AK7+1</f>
        <v>46142</v>
      </c>
      <c r="AM7" s="17">
        <f t="shared" ca="1" si="0"/>
        <v>46143</v>
      </c>
      <c r="AN7" s="17">
        <f t="shared" ca="1" si="0"/>
        <v>46144</v>
      </c>
      <c r="AO7" s="17">
        <f t="shared" ca="1" si="0"/>
        <v>46145</v>
      </c>
      <c r="AP7" s="17">
        <f t="shared" ca="1" si="0"/>
        <v>46146</v>
      </c>
      <c r="AQ7" s="64">
        <f t="shared" ca="1" si="0"/>
        <v>46147</v>
      </c>
      <c r="AR7" s="17">
        <f ca="1">AQ7+1</f>
        <v>46148</v>
      </c>
      <c r="AS7" s="17">
        <f ca="1">AR7+1</f>
        <v>46149</v>
      </c>
      <c r="AT7" s="17">
        <f t="shared" ca="1" si="0"/>
        <v>46150</v>
      </c>
      <c r="AU7" s="17">
        <f t="shared" ca="1" si="0"/>
        <v>46151</v>
      </c>
      <c r="AV7" s="17">
        <f t="shared" ca="1" si="0"/>
        <v>46152</v>
      </c>
      <c r="AW7" s="17">
        <f t="shared" ca="1" si="0"/>
        <v>46153</v>
      </c>
      <c r="AX7" s="64">
        <f t="shared" ca="1" si="0"/>
        <v>46154</v>
      </c>
      <c r="AY7" s="17">
        <f ca="1">AX7+1</f>
        <v>46155</v>
      </c>
      <c r="AZ7" s="17">
        <f ca="1">AY7+1</f>
        <v>46156</v>
      </c>
      <c r="BA7" s="17">
        <f t="shared" ref="BA7:BE7" ca="1" si="1">AZ7+1</f>
        <v>46157</v>
      </c>
      <c r="BB7" s="17">
        <f t="shared" ca="1" si="1"/>
        <v>46158</v>
      </c>
      <c r="BC7" s="17">
        <f t="shared" ca="1" si="1"/>
        <v>46159</v>
      </c>
      <c r="BD7" s="17">
        <f t="shared" ca="1" si="1"/>
        <v>46160</v>
      </c>
      <c r="BE7" s="64">
        <f t="shared" ca="1" si="1"/>
        <v>46161</v>
      </c>
      <c r="BF7" s="17">
        <f ca="1">BE7+1</f>
        <v>46162</v>
      </c>
      <c r="BG7" s="17">
        <f ca="1">BF7+1</f>
        <v>46163</v>
      </c>
      <c r="BH7" s="17">
        <f t="shared" ref="BH7:BL7" ca="1" si="2">BG7+1</f>
        <v>46164</v>
      </c>
      <c r="BI7" s="17">
        <f t="shared" ca="1" si="2"/>
        <v>46165</v>
      </c>
      <c r="BJ7" s="17">
        <f t="shared" ca="1" si="2"/>
        <v>46166</v>
      </c>
      <c r="BK7" s="17">
        <f t="shared" ca="1" si="2"/>
        <v>46167</v>
      </c>
      <c r="BL7" s="18">
        <f t="shared" ca="1" si="2"/>
        <v>46168</v>
      </c>
      <c r="BM7" s="32"/>
    </row>
    <row r="8" spans="1:68" ht="19.899999999999999" customHeight="1" x14ac:dyDescent="0.25">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15" customHeight="1" x14ac:dyDescent="0.25">
      <c r="A9" s="10"/>
      <c r="B9" s="119" t="s">
        <v>23</v>
      </c>
      <c r="C9" s="120" t="s">
        <v>7</v>
      </c>
      <c r="D9" s="120" t="s">
        <v>24</v>
      </c>
      <c r="E9" s="120" t="s">
        <v>10</v>
      </c>
      <c r="F9" s="120" t="s">
        <v>11</v>
      </c>
      <c r="G9" s="120" t="s">
        <v>25</v>
      </c>
      <c r="H9" s="48"/>
      <c r="I9" s="37" t="str">
        <f t="shared" ref="I9:BL9" ca="1" si="3">LEFT(TEXT(I7,"ddd"),1)</f>
        <v>W</v>
      </c>
      <c r="J9" s="37" t="str">
        <f t="shared" ca="1" si="3"/>
        <v>T</v>
      </c>
      <c r="K9" s="37" t="str">
        <f t="shared" ca="1" si="3"/>
        <v>F</v>
      </c>
      <c r="L9" s="37" t="str">
        <f t="shared" ca="1" si="3"/>
        <v>S</v>
      </c>
      <c r="M9" s="37" t="str">
        <f t="shared" ca="1" si="3"/>
        <v>S</v>
      </c>
      <c r="N9" s="37" t="str">
        <f t="shared" ca="1" si="3"/>
        <v>M</v>
      </c>
      <c r="O9" s="37" t="str">
        <f t="shared" ca="1" si="3"/>
        <v>T</v>
      </c>
      <c r="P9" s="37" t="str">
        <f t="shared" ca="1" si="3"/>
        <v>W</v>
      </c>
      <c r="Q9" s="37" t="str">
        <f t="shared" ca="1" si="3"/>
        <v>T</v>
      </c>
      <c r="R9" s="37" t="str">
        <f t="shared" ca="1" si="3"/>
        <v>F</v>
      </c>
      <c r="S9" s="37" t="str">
        <f t="shared" ca="1" si="3"/>
        <v>S</v>
      </c>
      <c r="T9" s="37" t="str">
        <f t="shared" ca="1" si="3"/>
        <v>S</v>
      </c>
      <c r="U9" s="37" t="str">
        <f t="shared" ca="1" si="3"/>
        <v>M</v>
      </c>
      <c r="V9" s="37" t="str">
        <f t="shared" ca="1" si="3"/>
        <v>T</v>
      </c>
      <c r="W9" s="37" t="str">
        <f t="shared" ca="1" si="3"/>
        <v>W</v>
      </c>
      <c r="X9" s="37" t="str">
        <f t="shared" ca="1" si="3"/>
        <v>T</v>
      </c>
      <c r="Y9" s="37" t="str">
        <f t="shared" ca="1" si="3"/>
        <v>F</v>
      </c>
      <c r="Z9" s="37" t="str">
        <f t="shared" ca="1" si="3"/>
        <v>S</v>
      </c>
      <c r="AA9" s="37" t="str">
        <f t="shared" ca="1" si="3"/>
        <v>S</v>
      </c>
      <c r="AB9" s="37" t="str">
        <f t="shared" ca="1" si="3"/>
        <v>M</v>
      </c>
      <c r="AC9" s="37" t="str">
        <f t="shared" ca="1" si="3"/>
        <v>T</v>
      </c>
      <c r="AD9" s="37" t="str">
        <f t="shared" ca="1" si="3"/>
        <v>W</v>
      </c>
      <c r="AE9" s="37" t="str">
        <f t="shared" ca="1" si="3"/>
        <v>T</v>
      </c>
      <c r="AF9" s="37" t="str">
        <f t="shared" ca="1" si="3"/>
        <v>F</v>
      </c>
      <c r="AG9" s="37" t="str">
        <f t="shared" ca="1" si="3"/>
        <v>S</v>
      </c>
      <c r="AH9" s="37" t="str">
        <f t="shared" ca="1" si="3"/>
        <v>S</v>
      </c>
      <c r="AI9" s="37" t="str">
        <f t="shared" ca="1" si="3"/>
        <v>M</v>
      </c>
      <c r="AJ9" s="37" t="str">
        <f t="shared" ca="1" si="3"/>
        <v>T</v>
      </c>
      <c r="AK9" s="37" t="str">
        <f t="shared" ca="1" si="3"/>
        <v>W</v>
      </c>
      <c r="AL9" s="37" t="str">
        <f t="shared" ca="1" si="3"/>
        <v>T</v>
      </c>
      <c r="AM9" s="37" t="str">
        <f t="shared" ca="1" si="3"/>
        <v>F</v>
      </c>
      <c r="AN9" s="37" t="str">
        <f t="shared" ca="1" si="3"/>
        <v>S</v>
      </c>
      <c r="AO9" s="37" t="str">
        <f t="shared" ca="1" si="3"/>
        <v>S</v>
      </c>
      <c r="AP9" s="37" t="str">
        <f t="shared" ca="1" si="3"/>
        <v>M</v>
      </c>
      <c r="AQ9" s="37" t="str">
        <f t="shared" ca="1" si="3"/>
        <v>T</v>
      </c>
      <c r="AR9" s="37" t="str">
        <f t="shared" ca="1" si="3"/>
        <v>W</v>
      </c>
      <c r="AS9" s="37" t="str">
        <f t="shared" ca="1" si="3"/>
        <v>T</v>
      </c>
      <c r="AT9" s="37" t="str">
        <f t="shared" ca="1" si="3"/>
        <v>F</v>
      </c>
      <c r="AU9" s="37" t="str">
        <f t="shared" ca="1" si="3"/>
        <v>S</v>
      </c>
      <c r="AV9" s="37" t="str">
        <f t="shared" ca="1" si="3"/>
        <v>S</v>
      </c>
      <c r="AW9" s="37" t="str">
        <f t="shared" ca="1" si="3"/>
        <v>M</v>
      </c>
      <c r="AX9" s="37" t="str">
        <f t="shared" ca="1" si="3"/>
        <v>T</v>
      </c>
      <c r="AY9" s="37" t="str">
        <f t="shared" ca="1" si="3"/>
        <v>W</v>
      </c>
      <c r="AZ9" s="37" t="str">
        <f t="shared" ca="1" si="3"/>
        <v>T</v>
      </c>
      <c r="BA9" s="37" t="str">
        <f t="shared" ca="1" si="3"/>
        <v>F</v>
      </c>
      <c r="BB9" s="37" t="str">
        <f t="shared" ca="1" si="3"/>
        <v>S</v>
      </c>
      <c r="BC9" s="37" t="str">
        <f t="shared" ca="1" si="3"/>
        <v>S</v>
      </c>
      <c r="BD9" s="37" t="str">
        <f t="shared" ca="1" si="3"/>
        <v>M</v>
      </c>
      <c r="BE9" s="37" t="str">
        <f t="shared" ca="1" si="3"/>
        <v>T</v>
      </c>
      <c r="BF9" s="37" t="str">
        <f t="shared" ca="1" si="3"/>
        <v>W</v>
      </c>
      <c r="BG9" s="37" t="str">
        <f t="shared" ca="1" si="3"/>
        <v>T</v>
      </c>
      <c r="BH9" s="37" t="str">
        <f t="shared" ca="1" si="3"/>
        <v>F</v>
      </c>
      <c r="BI9" s="37" t="str">
        <f t="shared" ca="1" si="3"/>
        <v>S</v>
      </c>
      <c r="BJ9" s="37" t="str">
        <f t="shared" ca="1" si="3"/>
        <v>S</v>
      </c>
      <c r="BK9" s="37" t="str">
        <f t="shared" ca="1" si="3"/>
        <v>M</v>
      </c>
      <c r="BL9" s="37" t="str">
        <f t="shared" ca="1" si="3"/>
        <v>T</v>
      </c>
      <c r="BM9" s="32"/>
    </row>
    <row r="10" spans="1:68" ht="30" hidden="1" customHeight="1" thickBot="1" x14ac:dyDescent="0.3">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15" customHeight="1" x14ac:dyDescent="0.25">
      <c r="A11" s="10"/>
      <c r="B11" s="121" t="s">
        <v>30</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15" customHeight="1" x14ac:dyDescent="0.25">
      <c r="A12" s="10"/>
      <c r="B12" s="25" t="s">
        <v>3</v>
      </c>
      <c r="C12" s="21" t="s">
        <v>8</v>
      </c>
      <c r="D12" s="21" t="s">
        <v>6</v>
      </c>
      <c r="E12" s="22">
        <v>0.25</v>
      </c>
      <c r="F12" s="23">
        <f ca="1">TODAY()</f>
        <v>46112</v>
      </c>
      <c r="G12" s="24">
        <v>3</v>
      </c>
      <c r="H12" s="19"/>
      <c r="I12" s="47">
        <f ca="1">IF(AND($C12="Goal",I$7&gt;=$F12,I$7&lt;=$F12+$G12-1),2,IF(AND($C12="Milestone",I$7&gt;=$F12,I$7&lt;=$F12+$G12-1),1,""))</f>
        <v>2</v>
      </c>
      <c r="J12" s="27">
        <f t="shared" ca="1" si="4"/>
        <v>2</v>
      </c>
      <c r="K12" s="27" t="str">
        <f t="shared" ca="1" si="4"/>
        <v/>
      </c>
      <c r="L12" s="27" t="str">
        <f t="shared" ca="1" si="4"/>
        <v/>
      </c>
      <c r="M12" s="27" t="str">
        <f t="shared" ca="1" si="4"/>
        <v/>
      </c>
      <c r="N12" s="27" t="str">
        <f t="shared" ca="1" si="4"/>
        <v/>
      </c>
      <c r="O12" s="27" t="str">
        <f t="shared" ca="1" si="4"/>
        <v/>
      </c>
      <c r="P12" s="27" t="str">
        <f t="shared" ca="1" si="4"/>
        <v/>
      </c>
      <c r="Q12" s="27" t="str">
        <f t="shared" ca="1" si="4"/>
        <v/>
      </c>
      <c r="R12" s="27" t="str">
        <f t="shared" ca="1" si="4"/>
        <v/>
      </c>
      <c r="S12" s="27" t="str">
        <f t="shared" ca="1" si="4"/>
        <v/>
      </c>
      <c r="T12" s="27" t="str">
        <f t="shared" ca="1" si="4"/>
        <v/>
      </c>
      <c r="U12" s="27" t="str">
        <f t="shared" ca="1" si="4"/>
        <v/>
      </c>
      <c r="V12" s="27" t="str">
        <f t="shared" ca="1" si="4"/>
        <v/>
      </c>
      <c r="W12" s="27" t="str">
        <f t="shared" ca="1" si="4"/>
        <v/>
      </c>
      <c r="X12" s="27" t="str">
        <f t="shared" ca="1" si="4"/>
        <v/>
      </c>
      <c r="Y12" s="27" t="str">
        <f t="shared" ca="1" si="5"/>
        <v/>
      </c>
      <c r="Z12" s="27" t="str">
        <f t="shared" ca="1" si="5"/>
        <v/>
      </c>
      <c r="AA12" s="27" t="str">
        <f t="shared" ca="1" si="5"/>
        <v/>
      </c>
      <c r="AB12" s="27" t="str">
        <f t="shared" ca="1" si="5"/>
        <v/>
      </c>
      <c r="AC12" s="27" t="str">
        <f t="shared" ca="1" si="5"/>
        <v/>
      </c>
      <c r="AD12" s="27" t="str">
        <f t="shared" ca="1" si="5"/>
        <v/>
      </c>
      <c r="AE12" s="27" t="str">
        <f t="shared" ca="1" si="5"/>
        <v/>
      </c>
      <c r="AF12" s="27" t="str">
        <f t="shared" ca="1" si="5"/>
        <v/>
      </c>
      <c r="AG12" s="27" t="str">
        <f t="shared" ca="1" si="5"/>
        <v/>
      </c>
      <c r="AH12" s="27" t="str">
        <f t="shared" ca="1" si="5"/>
        <v/>
      </c>
      <c r="AI12" s="27" t="str">
        <f t="shared" ca="1" si="5"/>
        <v/>
      </c>
      <c r="AJ12" s="27" t="str">
        <f t="shared" ca="1" si="5"/>
        <v/>
      </c>
      <c r="AK12" s="27" t="str">
        <f t="shared" ca="1" si="5"/>
        <v/>
      </c>
      <c r="AL12" s="27" t="str">
        <f t="shared" ca="1" si="5"/>
        <v/>
      </c>
      <c r="AM12" s="27" t="str">
        <f t="shared" ca="1" si="5"/>
        <v/>
      </c>
      <c r="AN12" s="27" t="str">
        <f t="shared" ca="1" si="5"/>
        <v/>
      </c>
      <c r="AO12" s="27" t="str">
        <f t="shared" ca="1" si="6"/>
        <v/>
      </c>
      <c r="AP12" s="27" t="str">
        <f t="shared" ca="1" si="6"/>
        <v/>
      </c>
      <c r="AQ12" s="27" t="str">
        <f t="shared" ca="1" si="6"/>
        <v/>
      </c>
      <c r="AR12" s="27" t="str">
        <f t="shared" ca="1" si="6"/>
        <v/>
      </c>
      <c r="AS12" s="27" t="str">
        <f t="shared" ca="1" si="6"/>
        <v/>
      </c>
      <c r="AT12" s="27" t="str">
        <f t="shared" ca="1" si="6"/>
        <v/>
      </c>
      <c r="AU12" s="27" t="str">
        <f t="shared" ca="1" si="6"/>
        <v/>
      </c>
      <c r="AV12" s="27" t="str">
        <f t="shared" ca="1" si="6"/>
        <v/>
      </c>
      <c r="AW12" s="27" t="str">
        <f t="shared" ca="1" si="6"/>
        <v/>
      </c>
      <c r="AX12" s="27" t="str">
        <f t="shared" ca="1" si="6"/>
        <v/>
      </c>
      <c r="AY12" s="27" t="str">
        <f t="shared" ca="1" si="6"/>
        <v/>
      </c>
      <c r="AZ12" s="27" t="str">
        <f t="shared" ca="1" si="6"/>
        <v/>
      </c>
      <c r="BA12" s="27" t="str">
        <f t="shared" ca="1" si="6"/>
        <v/>
      </c>
      <c r="BB12" s="27" t="str">
        <f t="shared" ca="1" si="6"/>
        <v/>
      </c>
      <c r="BC12" s="27" t="str">
        <f t="shared" ca="1" si="6"/>
        <v/>
      </c>
      <c r="BD12" s="27" t="str">
        <f t="shared" ca="1" si="6"/>
        <v/>
      </c>
      <c r="BE12" s="27" t="str">
        <f t="shared" ca="1" si="7"/>
        <v/>
      </c>
      <c r="BF12" s="27" t="str">
        <f t="shared" ca="1" si="7"/>
        <v/>
      </c>
      <c r="BG12" s="27" t="str">
        <f t="shared" ca="1" si="7"/>
        <v/>
      </c>
      <c r="BH12" s="27" t="str">
        <f t="shared" ca="1" si="7"/>
        <v/>
      </c>
      <c r="BI12" s="27" t="str">
        <f t="shared" ca="1" si="7"/>
        <v/>
      </c>
      <c r="BJ12" s="27" t="str">
        <f t="shared" ca="1" si="7"/>
        <v/>
      </c>
      <c r="BK12" s="27" t="str">
        <f t="shared" ca="1" si="7"/>
        <v/>
      </c>
      <c r="BL12" s="27" t="str">
        <f t="shared" ca="1" si="7"/>
        <v/>
      </c>
      <c r="BM12" s="28"/>
    </row>
    <row r="13" spans="1:68" s="1" customFormat="1" ht="40.15" customHeight="1" x14ac:dyDescent="0.25">
      <c r="A13" s="10"/>
      <c r="B13" s="25" t="s">
        <v>4</v>
      </c>
      <c r="C13" s="21" t="s">
        <v>9</v>
      </c>
      <c r="D13" s="21"/>
      <c r="E13" s="22"/>
      <c r="F13" s="23">
        <f ca="1">TODAY()+5</f>
        <v>46117</v>
      </c>
      <c r="G13" s="24">
        <v>1</v>
      </c>
      <c r="H13" s="19"/>
      <c r="I13" s="47" t="str">
        <f t="shared" ref="I13:X28" ca="1" si="8">IF(AND($C13="Goal",I$7&gt;=$F13,I$7&lt;=$F13+$G13-1),2,IF(AND($C13="Milestone",I$7&gt;=$F13,I$7&lt;=$F13+$G13-1),1,""))</f>
        <v/>
      </c>
      <c r="J13" s="27" t="str">
        <f t="shared" ca="1" si="4"/>
        <v/>
      </c>
      <c r="K13" s="27" t="str">
        <f t="shared" ca="1" si="4"/>
        <v/>
      </c>
      <c r="L13" s="27" t="str">
        <f t="shared" ca="1" si="4"/>
        <v/>
      </c>
      <c r="M13" s="27">
        <f t="shared" ca="1" si="4"/>
        <v>1</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15" customHeight="1" x14ac:dyDescent="0.25">
      <c r="A14" s="9"/>
      <c r="B14" s="25" t="s">
        <v>0</v>
      </c>
      <c r="C14" s="21" t="s">
        <v>14</v>
      </c>
      <c r="D14" s="21"/>
      <c r="E14" s="22">
        <v>0.5</v>
      </c>
      <c r="F14" s="23">
        <f ca="1">F12-3</f>
        <v>46109</v>
      </c>
      <c r="G14" s="24">
        <v>10</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t="shared" ca="1" si="7"/>
        <v/>
      </c>
      <c r="BM14" s="28"/>
    </row>
    <row r="15" spans="1:68" s="1" customFormat="1" ht="40.15" customHeight="1" x14ac:dyDescent="0.25">
      <c r="A15" s="9"/>
      <c r="B15" s="25" t="s">
        <v>1</v>
      </c>
      <c r="C15" s="21" t="s">
        <v>9</v>
      </c>
      <c r="D15" s="21"/>
      <c r="E15" s="22"/>
      <c r="F15" s="23">
        <f ca="1">F12+20</f>
        <v>46132</v>
      </c>
      <c r="G15" s="24">
        <v>1</v>
      </c>
      <c r="H15" s="19"/>
      <c r="I15" s="47" t="str">
        <f t="shared" ca="1" si="8"/>
        <v/>
      </c>
      <c r="J15" s="27" t="str">
        <f t="shared" ca="1" si="4"/>
        <v/>
      </c>
      <c r="K15" s="27" t="str">
        <f t="shared" ca="1" si="4"/>
        <v/>
      </c>
      <c r="L15" s="27" t="str">
        <f t="shared" ca="1" si="4"/>
        <v/>
      </c>
      <c r="M15" s="27" t="str">
        <f t="shared" ca="1" si="4"/>
        <v/>
      </c>
      <c r="N15" s="27" t="str">
        <f t="shared" ca="1" si="4"/>
        <v/>
      </c>
      <c r="O15" s="27" t="str">
        <f t="shared" ca="1" si="4"/>
        <v/>
      </c>
      <c r="P15" s="27" t="str">
        <f t="shared" ca="1" si="4"/>
        <v/>
      </c>
      <c r="Q15" s="27" t="str">
        <f t="shared" ca="1" si="4"/>
        <v/>
      </c>
      <c r="R15" s="27" t="str">
        <f t="shared" ca="1" si="4"/>
        <v/>
      </c>
      <c r="S15" s="27" t="str">
        <f t="shared" ca="1" si="4"/>
        <v/>
      </c>
      <c r="T15" s="27" t="str">
        <f t="shared" ca="1" si="4"/>
        <v/>
      </c>
      <c r="U15" s="27" t="str">
        <f t="shared" ca="1" si="4"/>
        <v/>
      </c>
      <c r="V15" s="27" t="str">
        <f t="shared" ca="1" si="4"/>
        <v/>
      </c>
      <c r="W15" s="27" t="str">
        <f t="shared" ca="1" si="4"/>
        <v/>
      </c>
      <c r="X15" s="27" t="str">
        <f t="shared" ca="1" si="4"/>
        <v/>
      </c>
      <c r="Y15" s="27" t="str">
        <f t="shared" ca="1" si="5"/>
        <v/>
      </c>
      <c r="Z15" s="27" t="str">
        <f t="shared" ca="1" si="5"/>
        <v/>
      </c>
      <c r="AA15" s="27" t="str">
        <f t="shared" ca="1" si="5"/>
        <v/>
      </c>
      <c r="AB15" s="27">
        <f t="shared" ca="1" si="5"/>
        <v>1</v>
      </c>
      <c r="AC15" s="27" t="str">
        <f t="shared" ca="1" si="5"/>
        <v/>
      </c>
      <c r="AD15" s="27" t="str">
        <f t="shared" ca="1" si="5"/>
        <v/>
      </c>
      <c r="AE15" s="27" t="str">
        <f t="shared" ca="1" si="5"/>
        <v/>
      </c>
      <c r="AF15" s="27" t="str">
        <f t="shared" ca="1" si="5"/>
        <v/>
      </c>
      <c r="AG15" s="27" t="str">
        <f t="shared" ca="1" si="5"/>
        <v/>
      </c>
      <c r="AH15" s="27" t="str">
        <f t="shared" ca="1" si="5"/>
        <v/>
      </c>
      <c r="AI15" s="27" t="str">
        <f t="shared" ca="1" si="5"/>
        <v/>
      </c>
      <c r="AJ15" s="27" t="str">
        <f t="shared" ca="1" si="5"/>
        <v/>
      </c>
      <c r="AK15" s="27" t="str">
        <f t="shared" ca="1" si="5"/>
        <v/>
      </c>
      <c r="AL15" s="27" t="str">
        <f t="shared" ca="1" si="5"/>
        <v/>
      </c>
      <c r="AM15" s="27" t="str">
        <f t="shared" ca="1" si="5"/>
        <v/>
      </c>
      <c r="AN15" s="27" t="str">
        <f t="shared" ca="1" si="5"/>
        <v/>
      </c>
      <c r="AO15" s="27" t="str">
        <f t="shared" ca="1" si="6"/>
        <v/>
      </c>
      <c r="AP15" s="27" t="str">
        <f t="shared" ca="1" si="6"/>
        <v/>
      </c>
      <c r="AQ15" s="27" t="str">
        <f t="shared" ca="1" si="6"/>
        <v/>
      </c>
      <c r="AR15" s="27" t="str">
        <f t="shared" ca="1" si="6"/>
        <v/>
      </c>
      <c r="AS15" s="27" t="str">
        <f t="shared" ca="1" si="6"/>
        <v/>
      </c>
      <c r="AT15" s="27" t="str">
        <f t="shared" ca="1" si="6"/>
        <v/>
      </c>
      <c r="AU15" s="27" t="str">
        <f t="shared" ca="1" si="6"/>
        <v/>
      </c>
      <c r="AV15" s="27" t="str">
        <f t="shared" ca="1" si="6"/>
        <v/>
      </c>
      <c r="AW15" s="27" t="str">
        <f t="shared" ca="1" si="6"/>
        <v/>
      </c>
      <c r="AX15" s="27" t="str">
        <f t="shared" ca="1" si="6"/>
        <v/>
      </c>
      <c r="AY15" s="27" t="str">
        <f t="shared" ca="1" si="6"/>
        <v/>
      </c>
      <c r="AZ15" s="27" t="str">
        <f t="shared" ca="1" si="6"/>
        <v/>
      </c>
      <c r="BA15" s="27" t="str">
        <f t="shared" ca="1" si="6"/>
        <v/>
      </c>
      <c r="BB15" s="27" t="str">
        <f t="shared" ca="1" si="6"/>
        <v/>
      </c>
      <c r="BC15" s="27" t="str">
        <f t="shared" ca="1" si="6"/>
        <v/>
      </c>
      <c r="BD15" s="27" t="str">
        <f t="shared" ca="1" si="6"/>
        <v/>
      </c>
      <c r="BE15" s="27" t="str">
        <f t="shared" ca="1" si="7"/>
        <v/>
      </c>
      <c r="BF15" s="27" t="str">
        <f t="shared" ca="1" si="7"/>
        <v/>
      </c>
      <c r="BG15" s="27" t="str">
        <f t="shared" ca="1" si="7"/>
        <v/>
      </c>
      <c r="BH15" s="27" t="str">
        <f t="shared" ca="1" si="7"/>
        <v/>
      </c>
      <c r="BI15" s="27" t="str">
        <f t="shared" ca="1" si="7"/>
        <v/>
      </c>
      <c r="BJ15" s="27" t="str">
        <f t="shared" ca="1" si="7"/>
        <v/>
      </c>
      <c r="BK15" s="27" t="str">
        <f t="shared" ca="1" si="7"/>
        <v/>
      </c>
      <c r="BL15" s="27" t="str">
        <f t="shared" ca="1" si="7"/>
        <v/>
      </c>
      <c r="BM15" s="28"/>
    </row>
    <row r="16" spans="1:68" s="1" customFormat="1" ht="40.15" customHeight="1" x14ac:dyDescent="0.25">
      <c r="A16" s="9"/>
      <c r="B16" s="25" t="s">
        <v>2</v>
      </c>
      <c r="C16" s="21" t="s">
        <v>13</v>
      </c>
      <c r="D16" s="21"/>
      <c r="E16" s="22">
        <v>0.1</v>
      </c>
      <c r="F16" s="23">
        <f ca="1">F12+6</f>
        <v>46118</v>
      </c>
      <c r="G16" s="24">
        <v>6</v>
      </c>
      <c r="H16" s="19"/>
      <c r="I16" s="47" t="str">
        <f t="shared" ca="1" si="8"/>
        <v/>
      </c>
      <c r="J16" s="27" t="str">
        <f t="shared" ca="1" si="4"/>
        <v/>
      </c>
      <c r="K16" s="27" t="str">
        <f t="shared" ca="1" si="4"/>
        <v/>
      </c>
      <c r="L16" s="27" t="str">
        <f t="shared" ca="1" si="4"/>
        <v/>
      </c>
      <c r="M16" s="27" t="str">
        <f t="shared" ca="1" si="4"/>
        <v/>
      </c>
      <c r="N16" s="27" t="str">
        <f t="shared" ca="1" si="4"/>
        <v/>
      </c>
      <c r="O16" s="27" t="str">
        <f t="shared" ca="1" si="4"/>
        <v/>
      </c>
      <c r="P16" s="27" t="str">
        <f t="shared" ca="1" si="4"/>
        <v/>
      </c>
      <c r="Q16" s="27" t="str">
        <f t="shared" ca="1" si="4"/>
        <v/>
      </c>
      <c r="R16" s="27" t="str">
        <f t="shared" ca="1" si="4"/>
        <v/>
      </c>
      <c r="S16" s="27" t="str">
        <f t="shared" ca="1" si="4"/>
        <v/>
      </c>
      <c r="T16" s="27" t="str">
        <f t="shared" ca="1" si="4"/>
        <v/>
      </c>
      <c r="U16" s="27" t="str">
        <f t="shared" ca="1" si="4"/>
        <v/>
      </c>
      <c r="V16" s="27" t="str">
        <f t="shared" ca="1" si="4"/>
        <v/>
      </c>
      <c r="W16" s="27" t="str">
        <f t="shared" ca="1" si="4"/>
        <v/>
      </c>
      <c r="X16" s="27" t="str">
        <f t="shared" ca="1" si="4"/>
        <v/>
      </c>
      <c r="Y16" s="27" t="str">
        <f t="shared" ca="1" si="5"/>
        <v/>
      </c>
      <c r="Z16" s="27" t="str">
        <f t="shared" ca="1" si="5"/>
        <v/>
      </c>
      <c r="AA16" s="27" t="str">
        <f t="shared" ca="1" si="5"/>
        <v/>
      </c>
      <c r="AB16" s="27" t="str">
        <f t="shared" ca="1" si="5"/>
        <v/>
      </c>
      <c r="AC16" s="27" t="str">
        <f t="shared" ca="1" si="5"/>
        <v/>
      </c>
      <c r="AD16" s="27" t="str">
        <f t="shared" ca="1" si="5"/>
        <v/>
      </c>
      <c r="AE16" s="27" t="str">
        <f t="shared" ca="1" si="5"/>
        <v/>
      </c>
      <c r="AF16" s="27" t="str">
        <f t="shared" ca="1" si="5"/>
        <v/>
      </c>
      <c r="AG16" s="27" t="str">
        <f t="shared" ca="1" si="5"/>
        <v/>
      </c>
      <c r="AH16" s="27" t="str">
        <f t="shared" ca="1" si="5"/>
        <v/>
      </c>
      <c r="AI16" s="27" t="str">
        <f t="shared" ca="1" si="5"/>
        <v/>
      </c>
      <c r="AJ16" s="27" t="str">
        <f t="shared" ca="1" si="5"/>
        <v/>
      </c>
      <c r="AK16" s="27" t="str">
        <f t="shared" ca="1" si="5"/>
        <v/>
      </c>
      <c r="AL16" s="27" t="str">
        <f t="shared" ca="1" si="5"/>
        <v/>
      </c>
      <c r="AM16" s="27" t="str">
        <f t="shared" ca="1" si="5"/>
        <v/>
      </c>
      <c r="AN16" s="27" t="str">
        <f t="shared" ca="1" si="5"/>
        <v/>
      </c>
      <c r="AO16" s="27" t="str">
        <f t="shared" ca="1" si="6"/>
        <v/>
      </c>
      <c r="AP16" s="27" t="str">
        <f t="shared" ca="1" si="6"/>
        <v/>
      </c>
      <c r="AQ16" s="27" t="str">
        <f t="shared" ca="1" si="6"/>
        <v/>
      </c>
      <c r="AR16" s="27" t="str">
        <f t="shared" ca="1" si="6"/>
        <v/>
      </c>
      <c r="AS16" s="27" t="str">
        <f t="shared" ca="1" si="6"/>
        <v/>
      </c>
      <c r="AT16" s="27" t="str">
        <f t="shared" ca="1" si="6"/>
        <v/>
      </c>
      <c r="AU16" s="27" t="str">
        <f t="shared" ca="1" si="6"/>
        <v/>
      </c>
      <c r="AV16" s="27" t="str">
        <f t="shared" ca="1" si="6"/>
        <v/>
      </c>
      <c r="AW16" s="27" t="str">
        <f t="shared" ca="1" si="6"/>
        <v/>
      </c>
      <c r="AX16" s="27" t="str">
        <f t="shared" ca="1" si="6"/>
        <v/>
      </c>
      <c r="AY16" s="27" t="str">
        <f t="shared" ca="1" si="6"/>
        <v/>
      </c>
      <c r="AZ16" s="27" t="str">
        <f t="shared" ca="1" si="6"/>
        <v/>
      </c>
      <c r="BA16" s="27" t="str">
        <f t="shared" ca="1" si="6"/>
        <v/>
      </c>
      <c r="BB16" s="27" t="str">
        <f t="shared" ca="1" si="6"/>
        <v/>
      </c>
      <c r="BC16" s="27" t="str">
        <f t="shared" ca="1" si="6"/>
        <v/>
      </c>
      <c r="BD16" s="27" t="str">
        <f t="shared" ca="1" si="6"/>
        <v/>
      </c>
      <c r="BE16" s="27" t="str">
        <f t="shared" ca="1" si="7"/>
        <v/>
      </c>
      <c r="BF16" s="27" t="str">
        <f t="shared" ca="1" si="7"/>
        <v/>
      </c>
      <c r="BG16" s="27" t="str">
        <f t="shared" ca="1" si="7"/>
        <v/>
      </c>
      <c r="BH16" s="27" t="str">
        <f t="shared" ca="1" si="7"/>
        <v/>
      </c>
      <c r="BI16" s="27" t="str">
        <f t="shared" ca="1" si="7"/>
        <v/>
      </c>
      <c r="BJ16" s="27" t="str">
        <f t="shared" ca="1" si="7"/>
        <v/>
      </c>
      <c r="BK16" s="27" t="str">
        <f t="shared" ca="1" si="7"/>
        <v/>
      </c>
      <c r="BL16" s="27" t="str">
        <f t="shared" ca="1" si="7"/>
        <v/>
      </c>
      <c r="BM16" s="28"/>
    </row>
    <row r="17" spans="1:65" s="1" customFormat="1" ht="40.15" customHeight="1" x14ac:dyDescent="0.25">
      <c r="A17" s="10"/>
      <c r="B17" s="121" t="s">
        <v>31</v>
      </c>
      <c r="C17" s="21"/>
      <c r="D17" s="21"/>
      <c r="E17" s="22"/>
      <c r="F17" s="23"/>
      <c r="G17" s="24"/>
      <c r="H17" s="19"/>
      <c r="I17" s="47" t="str">
        <f t="shared" ca="1" si="8"/>
        <v/>
      </c>
      <c r="J17" s="27" t="str">
        <f t="shared" ca="1" si="4"/>
        <v/>
      </c>
      <c r="K17" s="27" t="str">
        <f t="shared" ca="1" si="4"/>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15" customHeight="1" x14ac:dyDescent="0.25">
      <c r="A18" s="10"/>
      <c r="B18" s="25" t="s">
        <v>3</v>
      </c>
      <c r="C18" s="21" t="s">
        <v>15</v>
      </c>
      <c r="D18" s="21"/>
      <c r="E18" s="22">
        <v>0.6</v>
      </c>
      <c r="F18" s="23">
        <f ca="1">F12+6</f>
        <v>46118</v>
      </c>
      <c r="G18" s="24">
        <v>13</v>
      </c>
      <c r="H18" s="19"/>
      <c r="I18" s="47" t="str">
        <f t="shared" ca="1" si="8"/>
        <v/>
      </c>
      <c r="J18" s="27" t="str">
        <f t="shared" ca="1" si="4"/>
        <v/>
      </c>
      <c r="K18" s="27" t="str">
        <f t="shared" ca="1" si="4"/>
        <v/>
      </c>
      <c r="L18" s="27" t="str">
        <f t="shared" ca="1" si="4"/>
        <v/>
      </c>
      <c r="M18" s="27" t="str">
        <f t="shared" ca="1" si="4"/>
        <v/>
      </c>
      <c r="N18" s="27" t="str">
        <f t="shared" ca="1" si="4"/>
        <v/>
      </c>
      <c r="O18" s="27" t="str">
        <f t="shared" ca="1" si="4"/>
        <v/>
      </c>
      <c r="P18" s="27" t="str">
        <f t="shared" ca="1" si="4"/>
        <v/>
      </c>
      <c r="Q18" s="27" t="str">
        <f t="shared" ca="1" si="4"/>
        <v/>
      </c>
      <c r="R18" s="27" t="str">
        <f t="shared" ca="1" si="4"/>
        <v/>
      </c>
      <c r="S18" s="27" t="str">
        <f t="shared" ca="1" si="4"/>
        <v/>
      </c>
      <c r="T18" s="27" t="str">
        <f t="shared" ca="1" si="4"/>
        <v/>
      </c>
      <c r="U18" s="27" t="str">
        <f t="shared" ca="1" si="4"/>
        <v/>
      </c>
      <c r="V18" s="27" t="str">
        <f t="shared" ca="1" si="4"/>
        <v/>
      </c>
      <c r="W18" s="27" t="str">
        <f t="shared" ca="1" si="4"/>
        <v/>
      </c>
      <c r="X18" s="27" t="str">
        <f t="shared" ca="1" si="4"/>
        <v/>
      </c>
      <c r="Y18" s="27" t="str">
        <f t="shared" ca="1" si="5"/>
        <v/>
      </c>
      <c r="Z18" s="27" t="str">
        <f t="shared" ca="1" si="5"/>
        <v/>
      </c>
      <c r="AA18" s="27" t="str">
        <f t="shared" ca="1" si="5"/>
        <v/>
      </c>
      <c r="AB18" s="27" t="str">
        <f t="shared" ca="1" si="5"/>
        <v/>
      </c>
      <c r="AC18" s="27" t="str">
        <f t="shared" ca="1" si="5"/>
        <v/>
      </c>
      <c r="AD18" s="27" t="str">
        <f t="shared" ca="1" si="5"/>
        <v/>
      </c>
      <c r="AE18" s="27" t="str">
        <f t="shared" ca="1" si="5"/>
        <v/>
      </c>
      <c r="AF18" s="27" t="str">
        <f t="shared" ca="1" si="5"/>
        <v/>
      </c>
      <c r="AG18" s="27" t="str">
        <f t="shared" ca="1" si="5"/>
        <v/>
      </c>
      <c r="AH18" s="27" t="str">
        <f t="shared" ca="1" si="5"/>
        <v/>
      </c>
      <c r="AI18" s="27" t="str">
        <f t="shared" ca="1" si="5"/>
        <v/>
      </c>
      <c r="AJ18" s="27" t="str">
        <f t="shared" ca="1" si="5"/>
        <v/>
      </c>
      <c r="AK18" s="27" t="str">
        <f t="shared" ca="1" si="5"/>
        <v/>
      </c>
      <c r="AL18" s="27" t="str">
        <f t="shared" ca="1" si="5"/>
        <v/>
      </c>
      <c r="AM18" s="27" t="str">
        <f t="shared" ca="1" si="5"/>
        <v/>
      </c>
      <c r="AN18" s="27" t="str">
        <f t="shared" ca="1" si="5"/>
        <v/>
      </c>
      <c r="AO18" s="27" t="str">
        <f t="shared" ca="1" si="6"/>
        <v/>
      </c>
      <c r="AP18" s="27" t="str">
        <f t="shared" ca="1" si="6"/>
        <v/>
      </c>
      <c r="AQ18" s="27" t="str">
        <f t="shared" ca="1" si="6"/>
        <v/>
      </c>
      <c r="AR18" s="27" t="str">
        <f t="shared" ca="1" si="6"/>
        <v/>
      </c>
      <c r="AS18" s="27" t="str">
        <f t="shared" ca="1" si="6"/>
        <v/>
      </c>
      <c r="AT18" s="27" t="str">
        <f t="shared" ca="1" si="6"/>
        <v/>
      </c>
      <c r="AU18" s="27" t="str">
        <f t="shared" ca="1" si="6"/>
        <v/>
      </c>
      <c r="AV18" s="27" t="str">
        <f t="shared" ca="1" si="6"/>
        <v/>
      </c>
      <c r="AW18" s="27" t="str">
        <f t="shared" ca="1" si="6"/>
        <v/>
      </c>
      <c r="AX18" s="27" t="str">
        <f t="shared" ca="1" si="6"/>
        <v/>
      </c>
      <c r="AY18" s="27" t="str">
        <f t="shared" ca="1" si="6"/>
        <v/>
      </c>
      <c r="AZ18" s="27" t="str">
        <f t="shared" ca="1" si="6"/>
        <v/>
      </c>
      <c r="BA18" s="27" t="str">
        <f t="shared" ca="1" si="6"/>
        <v/>
      </c>
      <c r="BB18" s="27" t="str">
        <f t="shared" ca="1" si="6"/>
        <v/>
      </c>
      <c r="BC18" s="27" t="str">
        <f t="shared" ca="1" si="6"/>
        <v/>
      </c>
      <c r="BD18" s="27" t="str">
        <f t="shared" ca="1" si="6"/>
        <v/>
      </c>
      <c r="BE18" s="27" t="str">
        <f t="shared" ca="1" si="7"/>
        <v/>
      </c>
      <c r="BF18" s="27" t="str">
        <f t="shared" ca="1" si="7"/>
        <v/>
      </c>
      <c r="BG18" s="27" t="str">
        <f t="shared" ca="1" si="7"/>
        <v/>
      </c>
      <c r="BH18" s="27" t="str">
        <f t="shared" ca="1" si="7"/>
        <v/>
      </c>
      <c r="BI18" s="27" t="str">
        <f t="shared" ca="1" si="7"/>
        <v/>
      </c>
      <c r="BJ18" s="27" t="str">
        <f t="shared" ca="1" si="7"/>
        <v/>
      </c>
      <c r="BK18" s="27" t="str">
        <f t="shared" ca="1" si="7"/>
        <v/>
      </c>
      <c r="BL18" s="27" t="str">
        <f t="shared" ca="1" si="7"/>
        <v/>
      </c>
      <c r="BM18" s="28"/>
    </row>
    <row r="19" spans="1:65" s="1" customFormat="1" ht="40.15" customHeight="1" x14ac:dyDescent="0.25">
      <c r="A19" s="9"/>
      <c r="B19" s="25" t="s">
        <v>4</v>
      </c>
      <c r="C19" s="21" t="s">
        <v>16</v>
      </c>
      <c r="D19" s="21"/>
      <c r="E19" s="22">
        <v>0.5</v>
      </c>
      <c r="F19" s="23">
        <f ca="1">F18+2</f>
        <v>46120</v>
      </c>
      <c r="G19" s="24">
        <v>9</v>
      </c>
      <c r="H19" s="19"/>
      <c r="I19" s="47" t="str">
        <f t="shared" ca="1" si="8"/>
        <v/>
      </c>
      <c r="J19" s="27" t="str">
        <f t="shared" ca="1" si="4"/>
        <v/>
      </c>
      <c r="K19" s="27" t="str">
        <f t="shared" ca="1" si="4"/>
        <v/>
      </c>
      <c r="L19" s="27" t="str">
        <f t="shared" ca="1" si="4"/>
        <v/>
      </c>
      <c r="M19" s="27" t="str">
        <f t="shared" ca="1" si="4"/>
        <v/>
      </c>
      <c r="N19" s="27" t="str">
        <f t="shared" ca="1" si="4"/>
        <v/>
      </c>
      <c r="O19" s="27" t="str">
        <f t="shared" ca="1" si="4"/>
        <v/>
      </c>
      <c r="P19" s="27" t="str">
        <f t="shared" ca="1" si="4"/>
        <v/>
      </c>
      <c r="Q19" s="27" t="str">
        <f t="shared" ca="1" si="4"/>
        <v/>
      </c>
      <c r="R19" s="27" t="str">
        <f t="shared" ca="1" si="4"/>
        <v/>
      </c>
      <c r="S19" s="27" t="str">
        <f t="shared" ca="1" si="4"/>
        <v/>
      </c>
      <c r="T19" s="27" t="str">
        <f t="shared" ca="1" si="4"/>
        <v/>
      </c>
      <c r="U19" s="27" t="str">
        <f t="shared" ca="1" si="4"/>
        <v/>
      </c>
      <c r="V19" s="27" t="str">
        <f t="shared" ca="1" si="4"/>
        <v/>
      </c>
      <c r="W19" s="27" t="str">
        <f t="shared" ca="1" si="4"/>
        <v/>
      </c>
      <c r="X19" s="27" t="str">
        <f t="shared" ca="1" si="4"/>
        <v/>
      </c>
      <c r="Y19" s="27" t="str">
        <f t="shared" ca="1" si="5"/>
        <v/>
      </c>
      <c r="Z19" s="27" t="str">
        <f t="shared" ca="1" si="5"/>
        <v/>
      </c>
      <c r="AA19" s="27" t="str">
        <f t="shared" ca="1" si="5"/>
        <v/>
      </c>
      <c r="AB19" s="27" t="str">
        <f t="shared" ca="1" si="5"/>
        <v/>
      </c>
      <c r="AC19" s="27" t="str">
        <f t="shared" ca="1" si="5"/>
        <v/>
      </c>
      <c r="AD19" s="27" t="str">
        <f t="shared" ca="1" si="5"/>
        <v/>
      </c>
      <c r="AE19" s="27" t="str">
        <f t="shared" ca="1" si="5"/>
        <v/>
      </c>
      <c r="AF19" s="27" t="str">
        <f t="shared" ca="1" si="5"/>
        <v/>
      </c>
      <c r="AG19" s="27" t="str">
        <f t="shared" ca="1" si="5"/>
        <v/>
      </c>
      <c r="AH19" s="27" t="str">
        <f t="shared" ca="1" si="5"/>
        <v/>
      </c>
      <c r="AI19" s="27" t="str">
        <f t="shared" ca="1" si="5"/>
        <v/>
      </c>
      <c r="AJ19" s="27" t="str">
        <f t="shared" ca="1" si="5"/>
        <v/>
      </c>
      <c r="AK19" s="27" t="str">
        <f t="shared" ca="1" si="5"/>
        <v/>
      </c>
      <c r="AL19" s="27" t="str">
        <f t="shared" ca="1" si="5"/>
        <v/>
      </c>
      <c r="AM19" s="27" t="str">
        <f t="shared" ca="1" si="5"/>
        <v/>
      </c>
      <c r="AN19" s="27" t="str">
        <f t="shared" ca="1" si="5"/>
        <v/>
      </c>
      <c r="AO19" s="27" t="str">
        <f t="shared" ca="1" si="6"/>
        <v/>
      </c>
      <c r="AP19" s="27" t="str">
        <f t="shared" ca="1" si="6"/>
        <v/>
      </c>
      <c r="AQ19" s="27" t="str">
        <f t="shared" ca="1" si="6"/>
        <v/>
      </c>
      <c r="AR19" s="27" t="str">
        <f t="shared" ca="1" si="6"/>
        <v/>
      </c>
      <c r="AS19" s="27" t="str">
        <f t="shared" ca="1" si="6"/>
        <v/>
      </c>
      <c r="AT19" s="27" t="str">
        <f t="shared" ca="1" si="6"/>
        <v/>
      </c>
      <c r="AU19" s="27" t="str">
        <f t="shared" ca="1" si="6"/>
        <v/>
      </c>
      <c r="AV19" s="27" t="str">
        <f t="shared" ca="1" si="6"/>
        <v/>
      </c>
      <c r="AW19" s="27" t="str">
        <f t="shared" ca="1" si="6"/>
        <v/>
      </c>
      <c r="AX19" s="27" t="str">
        <f t="shared" ca="1" si="6"/>
        <v/>
      </c>
      <c r="AY19" s="27" t="str">
        <f t="shared" ca="1" si="6"/>
        <v/>
      </c>
      <c r="AZ19" s="27" t="str">
        <f t="shared" ca="1" si="6"/>
        <v/>
      </c>
      <c r="BA19" s="27" t="str">
        <f t="shared" ca="1" si="6"/>
        <v/>
      </c>
      <c r="BB19" s="27" t="str">
        <f t="shared" ca="1" si="6"/>
        <v/>
      </c>
      <c r="BC19" s="27" t="str">
        <f t="shared" ca="1" si="6"/>
        <v/>
      </c>
      <c r="BD19" s="27" t="str">
        <f t="shared" ca="1" si="6"/>
        <v/>
      </c>
      <c r="BE19" s="27" t="str">
        <f t="shared" ca="1" si="7"/>
        <v/>
      </c>
      <c r="BF19" s="27" t="str">
        <f t="shared" ca="1" si="7"/>
        <v/>
      </c>
      <c r="BG19" s="27" t="str">
        <f t="shared" ca="1" si="7"/>
        <v/>
      </c>
      <c r="BH19" s="27" t="str">
        <f t="shared" ca="1" si="7"/>
        <v/>
      </c>
      <c r="BI19" s="27" t="str">
        <f t="shared" ca="1" si="7"/>
        <v/>
      </c>
      <c r="BJ19" s="27" t="str">
        <f t="shared" ca="1" si="7"/>
        <v/>
      </c>
      <c r="BK19" s="27" t="str">
        <f t="shared" ca="1" si="7"/>
        <v/>
      </c>
      <c r="BL19" s="27" t="str">
        <f t="shared" ca="1" si="7"/>
        <v/>
      </c>
      <c r="BM19" s="28"/>
    </row>
    <row r="20" spans="1:65" s="1" customFormat="1" ht="40.15" customHeight="1" x14ac:dyDescent="0.25">
      <c r="A20" s="9"/>
      <c r="B20" s="25" t="s">
        <v>0</v>
      </c>
      <c r="C20" s="21" t="s">
        <v>14</v>
      </c>
      <c r="D20" s="21"/>
      <c r="E20" s="22">
        <v>0.33</v>
      </c>
      <c r="F20" s="23">
        <f ca="1">F19+5</f>
        <v>46125</v>
      </c>
      <c r="G20" s="24">
        <v>11</v>
      </c>
      <c r="H20" s="19"/>
      <c r="I20" s="47" t="str">
        <f t="shared" ca="1" si="8"/>
        <v/>
      </c>
      <c r="J20" s="27" t="str">
        <f t="shared" ca="1" si="4"/>
        <v/>
      </c>
      <c r="K20" s="27" t="str">
        <f t="shared" ca="1" si="4"/>
        <v/>
      </c>
      <c r="L20" s="27" t="str">
        <f t="shared" ca="1" si="4"/>
        <v/>
      </c>
      <c r="M20" s="27" t="str">
        <f t="shared" ca="1" si="4"/>
        <v/>
      </c>
      <c r="N20" s="27" t="str">
        <f t="shared" ca="1" si="4"/>
        <v/>
      </c>
      <c r="O20" s="27" t="str">
        <f t="shared" ca="1" si="4"/>
        <v/>
      </c>
      <c r="P20" s="27" t="str">
        <f t="shared" ca="1" si="4"/>
        <v/>
      </c>
      <c r="Q20" s="27" t="str">
        <f t="shared" ca="1" si="4"/>
        <v/>
      </c>
      <c r="R20" s="27" t="str">
        <f t="shared" ca="1" si="4"/>
        <v/>
      </c>
      <c r="S20" s="27" t="str">
        <f t="shared" ca="1" si="4"/>
        <v/>
      </c>
      <c r="T20" s="27" t="str">
        <f t="shared" ca="1" si="4"/>
        <v/>
      </c>
      <c r="U20" s="27" t="str">
        <f t="shared" ca="1" si="4"/>
        <v/>
      </c>
      <c r="V20" s="27" t="str">
        <f t="shared" ca="1" si="4"/>
        <v/>
      </c>
      <c r="W20" s="27" t="str">
        <f t="shared" ca="1" si="4"/>
        <v/>
      </c>
      <c r="X20" s="27" t="str">
        <f t="shared" ca="1" si="4"/>
        <v/>
      </c>
      <c r="Y20" s="27" t="str">
        <f t="shared" ca="1" si="5"/>
        <v/>
      </c>
      <c r="Z20" s="27" t="str">
        <f t="shared" ca="1" si="5"/>
        <v/>
      </c>
      <c r="AA20" s="27" t="str">
        <f t="shared" ca="1" si="5"/>
        <v/>
      </c>
      <c r="AB20" s="27" t="str">
        <f t="shared" ca="1" si="5"/>
        <v/>
      </c>
      <c r="AC20" s="27" t="str">
        <f t="shared" ca="1" si="5"/>
        <v/>
      </c>
      <c r="AD20" s="27" t="str">
        <f t="shared" ca="1" si="5"/>
        <v/>
      </c>
      <c r="AE20" s="27" t="str">
        <f t="shared" ca="1" si="5"/>
        <v/>
      </c>
      <c r="AF20" s="27" t="str">
        <f t="shared" ca="1" si="5"/>
        <v/>
      </c>
      <c r="AG20" s="27" t="str">
        <f t="shared" ca="1" si="5"/>
        <v/>
      </c>
      <c r="AH20" s="27" t="str">
        <f t="shared" ca="1" si="5"/>
        <v/>
      </c>
      <c r="AI20" s="27" t="str">
        <f t="shared" ca="1" si="5"/>
        <v/>
      </c>
      <c r="AJ20" s="27" t="str">
        <f t="shared" ca="1" si="5"/>
        <v/>
      </c>
      <c r="AK20" s="27" t="str">
        <f t="shared" ca="1" si="5"/>
        <v/>
      </c>
      <c r="AL20" s="27" t="str">
        <f t="shared" ca="1" si="5"/>
        <v/>
      </c>
      <c r="AM20" s="27" t="str">
        <f t="shared" ca="1" si="5"/>
        <v/>
      </c>
      <c r="AN20" s="27" t="str">
        <f t="shared" ca="1" si="5"/>
        <v/>
      </c>
      <c r="AO20" s="27" t="str">
        <f t="shared" ca="1" si="6"/>
        <v/>
      </c>
      <c r="AP20" s="27" t="str">
        <f t="shared" ca="1" si="6"/>
        <v/>
      </c>
      <c r="AQ20" s="27" t="str">
        <f t="shared" ca="1" si="6"/>
        <v/>
      </c>
      <c r="AR20" s="27" t="str">
        <f t="shared" ca="1" si="6"/>
        <v/>
      </c>
      <c r="AS20" s="27" t="str">
        <f t="shared" ca="1" si="6"/>
        <v/>
      </c>
      <c r="AT20" s="27" t="str">
        <f t="shared" ca="1" si="6"/>
        <v/>
      </c>
      <c r="AU20" s="27" t="str">
        <f t="shared" ca="1" si="6"/>
        <v/>
      </c>
      <c r="AV20" s="27" t="str">
        <f t="shared" ca="1" si="6"/>
        <v/>
      </c>
      <c r="AW20" s="27" t="str">
        <f t="shared" ca="1" si="6"/>
        <v/>
      </c>
      <c r="AX20" s="27" t="str">
        <f t="shared" ca="1" si="6"/>
        <v/>
      </c>
      <c r="AY20" s="27" t="str">
        <f t="shared" ca="1" si="6"/>
        <v/>
      </c>
      <c r="AZ20" s="27" t="str">
        <f t="shared" ca="1" si="6"/>
        <v/>
      </c>
      <c r="BA20" s="27" t="str">
        <f t="shared" ca="1" si="6"/>
        <v/>
      </c>
      <c r="BB20" s="27" t="str">
        <f t="shared" ca="1" si="6"/>
        <v/>
      </c>
      <c r="BC20" s="27" t="str">
        <f t="shared" ca="1" si="6"/>
        <v/>
      </c>
      <c r="BD20" s="27" t="str">
        <f t="shared" ca="1" si="6"/>
        <v/>
      </c>
      <c r="BE20" s="27" t="str">
        <f t="shared" ca="1" si="7"/>
        <v/>
      </c>
      <c r="BF20" s="27" t="str">
        <f t="shared" ca="1" si="7"/>
        <v/>
      </c>
      <c r="BG20" s="27" t="str">
        <f t="shared" ca="1" si="7"/>
        <v/>
      </c>
      <c r="BH20" s="27" t="str">
        <f t="shared" ca="1" si="7"/>
        <v/>
      </c>
      <c r="BI20" s="27" t="str">
        <f t="shared" ca="1" si="7"/>
        <v/>
      </c>
      <c r="BJ20" s="27" t="str">
        <f t="shared" ca="1" si="7"/>
        <v/>
      </c>
      <c r="BK20" s="27" t="str">
        <f t="shared" ca="1" si="7"/>
        <v/>
      </c>
      <c r="BL20" s="27" t="str">
        <f t="shared" ca="1" si="7"/>
        <v/>
      </c>
      <c r="BM20" s="28"/>
    </row>
    <row r="21" spans="1:65" s="1" customFormat="1" ht="40.15" customHeight="1" x14ac:dyDescent="0.25">
      <c r="A21" s="9"/>
      <c r="B21" s="25" t="s">
        <v>1</v>
      </c>
      <c r="C21" s="21" t="s">
        <v>9</v>
      </c>
      <c r="D21" s="21"/>
      <c r="E21" s="22"/>
      <c r="F21" s="23">
        <f ca="1">F20+2</f>
        <v>46127</v>
      </c>
      <c r="G21" s="24">
        <v>1</v>
      </c>
      <c r="H21" s="19"/>
      <c r="I21" s="47" t="str">
        <f t="shared" ca="1" si="8"/>
        <v/>
      </c>
      <c r="J21" s="27" t="str">
        <f t="shared" ca="1" si="4"/>
        <v/>
      </c>
      <c r="K21" s="27" t="str">
        <f t="shared" ca="1" si="4"/>
        <v/>
      </c>
      <c r="L21" s="27" t="str">
        <f t="shared" ca="1" si="4"/>
        <v/>
      </c>
      <c r="M21" s="27" t="str">
        <f t="shared" ca="1" si="4"/>
        <v/>
      </c>
      <c r="N21" s="27" t="str">
        <f t="shared" ca="1" si="4"/>
        <v/>
      </c>
      <c r="O21" s="27" t="str">
        <f t="shared" ca="1" si="4"/>
        <v/>
      </c>
      <c r="P21" s="27" t="str">
        <f t="shared" ca="1" si="4"/>
        <v/>
      </c>
      <c r="Q21" s="27" t="str">
        <f t="shared" ca="1" si="4"/>
        <v/>
      </c>
      <c r="R21" s="27" t="str">
        <f t="shared" ca="1" si="4"/>
        <v/>
      </c>
      <c r="S21" s="27" t="str">
        <f t="shared" ca="1" si="4"/>
        <v/>
      </c>
      <c r="T21" s="27" t="str">
        <f t="shared" ca="1" si="4"/>
        <v/>
      </c>
      <c r="U21" s="27" t="str">
        <f t="shared" ca="1" si="4"/>
        <v/>
      </c>
      <c r="V21" s="27" t="str">
        <f t="shared" ca="1" si="4"/>
        <v/>
      </c>
      <c r="W21" s="27">
        <f t="shared" ca="1" si="4"/>
        <v>1</v>
      </c>
      <c r="X21" s="27" t="str">
        <f t="shared" ca="1" si="4"/>
        <v/>
      </c>
      <c r="Y21" s="27" t="str">
        <f t="shared" ca="1" si="5"/>
        <v/>
      </c>
      <c r="Z21" s="27" t="str">
        <f t="shared" ca="1" si="5"/>
        <v/>
      </c>
      <c r="AA21" s="27" t="str">
        <f t="shared" ca="1" si="5"/>
        <v/>
      </c>
      <c r="AB21" s="27" t="str">
        <f t="shared" ca="1" si="5"/>
        <v/>
      </c>
      <c r="AC21" s="27" t="str">
        <f t="shared" ca="1" si="5"/>
        <v/>
      </c>
      <c r="AD21" s="27" t="str">
        <f t="shared" ca="1" si="5"/>
        <v/>
      </c>
      <c r="AE21" s="27" t="str">
        <f t="shared" ca="1" si="5"/>
        <v/>
      </c>
      <c r="AF21" s="27" t="str">
        <f t="shared" ca="1" si="5"/>
        <v/>
      </c>
      <c r="AG21" s="27" t="str">
        <f t="shared" ca="1" si="5"/>
        <v/>
      </c>
      <c r="AH21" s="27" t="str">
        <f t="shared" ca="1" si="5"/>
        <v/>
      </c>
      <c r="AI21" s="27" t="str">
        <f t="shared" ca="1" si="5"/>
        <v/>
      </c>
      <c r="AJ21" s="27" t="str">
        <f t="shared" ca="1" si="5"/>
        <v/>
      </c>
      <c r="AK21" s="27" t="str">
        <f t="shared" ca="1" si="5"/>
        <v/>
      </c>
      <c r="AL21" s="27" t="str">
        <f t="shared" ca="1" si="5"/>
        <v/>
      </c>
      <c r="AM21" s="27" t="str">
        <f t="shared" ca="1" si="5"/>
        <v/>
      </c>
      <c r="AN21" s="27" t="str">
        <f t="shared" ca="1" si="5"/>
        <v/>
      </c>
      <c r="AO21" s="27" t="str">
        <f t="shared" ca="1" si="6"/>
        <v/>
      </c>
      <c r="AP21" s="27" t="str">
        <f t="shared" ca="1" si="6"/>
        <v/>
      </c>
      <c r="AQ21" s="27" t="str">
        <f t="shared" ca="1" si="6"/>
        <v/>
      </c>
      <c r="AR21" s="27" t="str">
        <f t="shared" ca="1" si="6"/>
        <v/>
      </c>
      <c r="AS21" s="27" t="str">
        <f t="shared" ca="1" si="6"/>
        <v/>
      </c>
      <c r="AT21" s="27" t="str">
        <f t="shared" ca="1" si="6"/>
        <v/>
      </c>
      <c r="AU21" s="27" t="str">
        <f t="shared" ca="1" si="6"/>
        <v/>
      </c>
      <c r="AV21" s="27" t="str">
        <f t="shared" ca="1" si="6"/>
        <v/>
      </c>
      <c r="AW21" s="27" t="str">
        <f t="shared" ca="1" si="6"/>
        <v/>
      </c>
      <c r="AX21" s="27" t="str">
        <f t="shared" ca="1" si="6"/>
        <v/>
      </c>
      <c r="AY21" s="27" t="str">
        <f t="shared" ca="1" si="6"/>
        <v/>
      </c>
      <c r="AZ21" s="27" t="str">
        <f t="shared" ca="1" si="6"/>
        <v/>
      </c>
      <c r="BA21" s="27" t="str">
        <f t="shared" ca="1" si="6"/>
        <v/>
      </c>
      <c r="BB21" s="27" t="str">
        <f t="shared" ca="1" si="6"/>
        <v/>
      </c>
      <c r="BC21" s="27" t="str">
        <f t="shared" ca="1" si="6"/>
        <v/>
      </c>
      <c r="BD21" s="27" t="str">
        <f t="shared" ca="1" si="6"/>
        <v/>
      </c>
      <c r="BE21" s="27" t="str">
        <f t="shared" ca="1" si="7"/>
        <v/>
      </c>
      <c r="BF21" s="27" t="str">
        <f t="shared" ca="1" si="7"/>
        <v/>
      </c>
      <c r="BG21" s="27" t="str">
        <f t="shared" ca="1" si="7"/>
        <v/>
      </c>
      <c r="BH21" s="27" t="str">
        <f t="shared" ca="1" si="7"/>
        <v/>
      </c>
      <c r="BI21" s="27" t="str">
        <f t="shared" ca="1" si="7"/>
        <v/>
      </c>
      <c r="BJ21" s="27" t="str">
        <f t="shared" ca="1" si="7"/>
        <v/>
      </c>
      <c r="BK21" s="27" t="str">
        <f t="shared" ca="1" si="7"/>
        <v/>
      </c>
      <c r="BL21" s="27" t="str">
        <f t="shared" ca="1" si="7"/>
        <v/>
      </c>
      <c r="BM21" s="28"/>
    </row>
    <row r="22" spans="1:65" s="1" customFormat="1" ht="40.15" customHeight="1" x14ac:dyDescent="0.25">
      <c r="A22" s="9"/>
      <c r="B22" s="25" t="s">
        <v>2</v>
      </c>
      <c r="C22" s="21"/>
      <c r="D22" s="21"/>
      <c r="E22" s="22"/>
      <c r="F22" s="23">
        <f ca="1">F21+1</f>
        <v>46128</v>
      </c>
      <c r="G22" s="24">
        <v>24</v>
      </c>
      <c r="H22" s="19"/>
      <c r="I22" s="47" t="str">
        <f t="shared" ca="1" si="8"/>
        <v/>
      </c>
      <c r="J22" s="27" t="str">
        <f t="shared" ca="1" si="4"/>
        <v/>
      </c>
      <c r="K22" s="27" t="str">
        <f t="shared" ca="1" si="4"/>
        <v/>
      </c>
      <c r="L22" s="27" t="str">
        <f t="shared" ca="1" si="4"/>
        <v/>
      </c>
      <c r="M22" s="27" t="str">
        <f t="shared" ca="1" si="4"/>
        <v/>
      </c>
      <c r="N22" s="27" t="str">
        <f t="shared" ca="1" si="4"/>
        <v/>
      </c>
      <c r="O22" s="27" t="str">
        <f t="shared" ca="1" si="4"/>
        <v/>
      </c>
      <c r="P22" s="27" t="str">
        <f t="shared" ca="1" si="4"/>
        <v/>
      </c>
      <c r="Q22" s="27" t="str">
        <f t="shared" ca="1" si="4"/>
        <v/>
      </c>
      <c r="R22" s="27" t="str">
        <f t="shared" ca="1" si="4"/>
        <v/>
      </c>
      <c r="S22" s="27" t="str">
        <f t="shared" ca="1" si="4"/>
        <v/>
      </c>
      <c r="T22" s="27" t="str">
        <f t="shared" ca="1" si="4"/>
        <v/>
      </c>
      <c r="U22" s="27" t="str">
        <f t="shared" ca="1" si="4"/>
        <v/>
      </c>
      <c r="V22" s="27" t="str">
        <f t="shared" ca="1" si="4"/>
        <v/>
      </c>
      <c r="W22" s="27" t="str">
        <f t="shared" ca="1" si="4"/>
        <v/>
      </c>
      <c r="X22" s="27" t="str">
        <f t="shared" ca="1" si="4"/>
        <v/>
      </c>
      <c r="Y22" s="27" t="str">
        <f t="shared" ca="1" si="5"/>
        <v/>
      </c>
      <c r="Z22" s="27" t="str">
        <f t="shared" ca="1" si="5"/>
        <v/>
      </c>
      <c r="AA22" s="27" t="str">
        <f t="shared" ca="1" si="5"/>
        <v/>
      </c>
      <c r="AB22" s="27" t="str">
        <f t="shared" ca="1" si="5"/>
        <v/>
      </c>
      <c r="AC22" s="27" t="str">
        <f t="shared" ca="1" si="5"/>
        <v/>
      </c>
      <c r="AD22" s="27" t="str">
        <f t="shared" ca="1" si="5"/>
        <v/>
      </c>
      <c r="AE22" s="27" t="str">
        <f t="shared" ca="1" si="5"/>
        <v/>
      </c>
      <c r="AF22" s="27" t="str">
        <f t="shared" ca="1" si="5"/>
        <v/>
      </c>
      <c r="AG22" s="27" t="str">
        <f t="shared" ca="1" si="5"/>
        <v/>
      </c>
      <c r="AH22" s="27" t="str">
        <f t="shared" ca="1" si="5"/>
        <v/>
      </c>
      <c r="AI22" s="27" t="str">
        <f t="shared" ca="1" si="5"/>
        <v/>
      </c>
      <c r="AJ22" s="27" t="str">
        <f t="shared" ca="1" si="5"/>
        <v/>
      </c>
      <c r="AK22" s="27" t="str">
        <f t="shared" ca="1" si="5"/>
        <v/>
      </c>
      <c r="AL22" s="27" t="str">
        <f t="shared" ca="1" si="5"/>
        <v/>
      </c>
      <c r="AM22" s="27" t="str">
        <f t="shared" ca="1" si="5"/>
        <v/>
      </c>
      <c r="AN22" s="27" t="str">
        <f t="shared" ca="1" si="5"/>
        <v/>
      </c>
      <c r="AO22" s="27" t="str">
        <f t="shared" ca="1" si="6"/>
        <v/>
      </c>
      <c r="AP22" s="27" t="str">
        <f t="shared" ca="1" si="6"/>
        <v/>
      </c>
      <c r="AQ22" s="27" t="str">
        <f t="shared" ca="1" si="6"/>
        <v/>
      </c>
      <c r="AR22" s="27" t="str">
        <f t="shared" ca="1" si="6"/>
        <v/>
      </c>
      <c r="AS22" s="27" t="str">
        <f t="shared" ca="1" si="6"/>
        <v/>
      </c>
      <c r="AT22" s="27" t="str">
        <f t="shared" ca="1" si="6"/>
        <v/>
      </c>
      <c r="AU22" s="27" t="str">
        <f t="shared" ca="1" si="6"/>
        <v/>
      </c>
      <c r="AV22" s="27" t="str">
        <f t="shared" ca="1" si="6"/>
        <v/>
      </c>
      <c r="AW22" s="27" t="str">
        <f t="shared" ca="1" si="6"/>
        <v/>
      </c>
      <c r="AX22" s="27" t="str">
        <f t="shared" ca="1" si="6"/>
        <v/>
      </c>
      <c r="AY22" s="27" t="str">
        <f t="shared" ca="1" si="6"/>
        <v/>
      </c>
      <c r="AZ22" s="27" t="str">
        <f t="shared" ca="1" si="6"/>
        <v/>
      </c>
      <c r="BA22" s="27" t="str">
        <f t="shared" ca="1" si="6"/>
        <v/>
      </c>
      <c r="BB22" s="27" t="str">
        <f t="shared" ca="1" si="6"/>
        <v/>
      </c>
      <c r="BC22" s="27" t="str">
        <f t="shared" ca="1" si="6"/>
        <v/>
      </c>
      <c r="BD22" s="27" t="str">
        <f t="shared" ca="1" si="6"/>
        <v/>
      </c>
      <c r="BE22" s="27" t="str">
        <f t="shared" ca="1" si="7"/>
        <v/>
      </c>
      <c r="BF22" s="27" t="str">
        <f t="shared" ca="1" si="7"/>
        <v/>
      </c>
      <c r="BG22" s="27" t="str">
        <f t="shared" ca="1" si="7"/>
        <v/>
      </c>
      <c r="BH22" s="27" t="str">
        <f t="shared" ca="1" si="7"/>
        <v/>
      </c>
      <c r="BI22" s="27" t="str">
        <f t="shared" ca="1" si="7"/>
        <v/>
      </c>
      <c r="BJ22" s="27" t="str">
        <f t="shared" ca="1" si="7"/>
        <v/>
      </c>
      <c r="BK22" s="27" t="str">
        <f t="shared" ca="1" si="7"/>
        <v/>
      </c>
      <c r="BL22" s="27" t="str">
        <f t="shared" ca="1" si="7"/>
        <v/>
      </c>
      <c r="BM22" s="28"/>
    </row>
    <row r="23" spans="1:65" s="1" customFormat="1" ht="40.15" customHeight="1" x14ac:dyDescent="0.25">
      <c r="A23" s="9"/>
      <c r="B23" s="121" t="s">
        <v>32</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15" customHeight="1" x14ac:dyDescent="0.25">
      <c r="A24" s="9"/>
      <c r="B24" s="25" t="s">
        <v>3</v>
      </c>
      <c r="C24" s="21" t="s">
        <v>16</v>
      </c>
      <c r="D24" s="21"/>
      <c r="E24" s="22"/>
      <c r="F24" s="23">
        <f ca="1">F12+15</f>
        <v>46127</v>
      </c>
      <c r="G24" s="24">
        <v>4</v>
      </c>
      <c r="H24" s="19"/>
      <c r="I24" s="47" t="str">
        <f t="shared" ca="1" si="8"/>
        <v/>
      </c>
      <c r="J24" s="27" t="str">
        <f t="shared" ca="1" si="4"/>
        <v/>
      </c>
      <c r="K24" s="27" t="str">
        <f t="shared" ca="1" si="4"/>
        <v/>
      </c>
      <c r="L24" s="27" t="str">
        <f t="shared" ca="1" si="4"/>
        <v/>
      </c>
      <c r="M24" s="27" t="str">
        <f t="shared" ca="1" si="4"/>
        <v/>
      </c>
      <c r="N24" s="27" t="str">
        <f t="shared" ca="1" si="4"/>
        <v/>
      </c>
      <c r="O24" s="27" t="str">
        <f t="shared" ca="1" si="4"/>
        <v/>
      </c>
      <c r="P24" s="27" t="str">
        <f t="shared" ca="1" si="4"/>
        <v/>
      </c>
      <c r="Q24" s="27" t="str">
        <f t="shared" ca="1" si="4"/>
        <v/>
      </c>
      <c r="R24" s="27" t="str">
        <f t="shared" ca="1" si="4"/>
        <v/>
      </c>
      <c r="S24" s="27" t="str">
        <f t="shared" ca="1" si="4"/>
        <v/>
      </c>
      <c r="T24" s="27" t="str">
        <f t="shared" ca="1" si="4"/>
        <v/>
      </c>
      <c r="U24" s="27" t="str">
        <f t="shared" ca="1" si="4"/>
        <v/>
      </c>
      <c r="V24" s="27" t="str">
        <f t="shared" ca="1" si="4"/>
        <v/>
      </c>
      <c r="W24" s="27" t="str">
        <f t="shared" ca="1" si="4"/>
        <v/>
      </c>
      <c r="X24" s="27" t="str">
        <f t="shared" ca="1" si="4"/>
        <v/>
      </c>
      <c r="Y24" s="27" t="str">
        <f t="shared" ca="1" si="5"/>
        <v/>
      </c>
      <c r="Z24" s="27" t="str">
        <f t="shared" ca="1" si="5"/>
        <v/>
      </c>
      <c r="AA24" s="27" t="str">
        <f t="shared" ca="1" si="5"/>
        <v/>
      </c>
      <c r="AB24" s="27" t="str">
        <f t="shared" ca="1" si="5"/>
        <v/>
      </c>
      <c r="AC24" s="27" t="str">
        <f t="shared" ca="1" si="5"/>
        <v/>
      </c>
      <c r="AD24" s="27" t="str">
        <f t="shared" ca="1" si="5"/>
        <v/>
      </c>
      <c r="AE24" s="27" t="str">
        <f t="shared" ca="1" si="5"/>
        <v/>
      </c>
      <c r="AF24" s="27" t="str">
        <f t="shared" ca="1" si="5"/>
        <v/>
      </c>
      <c r="AG24" s="27" t="str">
        <f t="shared" ca="1" si="5"/>
        <v/>
      </c>
      <c r="AH24" s="27" t="str">
        <f t="shared" ca="1" si="5"/>
        <v/>
      </c>
      <c r="AI24" s="27" t="str">
        <f t="shared" ca="1" si="5"/>
        <v/>
      </c>
      <c r="AJ24" s="27" t="str">
        <f t="shared" ca="1" si="5"/>
        <v/>
      </c>
      <c r="AK24" s="27" t="str">
        <f t="shared" ca="1" si="5"/>
        <v/>
      </c>
      <c r="AL24" s="27" t="str">
        <f t="shared" ca="1" si="5"/>
        <v/>
      </c>
      <c r="AM24" s="27" t="str">
        <f t="shared" ca="1" si="5"/>
        <v/>
      </c>
      <c r="AN24" s="27" t="str">
        <f t="shared" ca="1" si="5"/>
        <v/>
      </c>
      <c r="AO24" s="27" t="str">
        <f t="shared" ca="1" si="6"/>
        <v/>
      </c>
      <c r="AP24" s="27" t="str">
        <f t="shared" ca="1" si="6"/>
        <v/>
      </c>
      <c r="AQ24" s="27" t="str">
        <f t="shared" ca="1" si="6"/>
        <v/>
      </c>
      <c r="AR24" s="27" t="str">
        <f t="shared" ca="1" si="6"/>
        <v/>
      </c>
      <c r="AS24" s="27" t="str">
        <f t="shared" ca="1" si="6"/>
        <v/>
      </c>
      <c r="AT24" s="27" t="str">
        <f t="shared" ca="1" si="6"/>
        <v/>
      </c>
      <c r="AU24" s="27" t="str">
        <f t="shared" ca="1" si="6"/>
        <v/>
      </c>
      <c r="AV24" s="27" t="str">
        <f t="shared" ca="1" si="6"/>
        <v/>
      </c>
      <c r="AW24" s="27" t="str">
        <f t="shared" ca="1" si="6"/>
        <v/>
      </c>
      <c r="AX24" s="27" t="str">
        <f t="shared" ca="1" si="6"/>
        <v/>
      </c>
      <c r="AY24" s="27" t="str">
        <f t="shared" ca="1" si="6"/>
        <v/>
      </c>
      <c r="AZ24" s="27" t="str">
        <f t="shared" ca="1" si="6"/>
        <v/>
      </c>
      <c r="BA24" s="27" t="str">
        <f t="shared" ca="1" si="6"/>
        <v/>
      </c>
      <c r="BB24" s="27" t="str">
        <f t="shared" ca="1" si="6"/>
        <v/>
      </c>
      <c r="BC24" s="27" t="str">
        <f t="shared" ca="1" si="6"/>
        <v/>
      </c>
      <c r="BD24" s="27" t="str">
        <f t="shared" ca="1" si="6"/>
        <v/>
      </c>
      <c r="BE24" s="27" t="str">
        <f t="shared" ca="1" si="7"/>
        <v/>
      </c>
      <c r="BF24" s="27" t="str">
        <f t="shared" ca="1" si="7"/>
        <v/>
      </c>
      <c r="BG24" s="27" t="str">
        <f t="shared" ca="1" si="7"/>
        <v/>
      </c>
      <c r="BH24" s="27" t="str">
        <f t="shared" ca="1" si="7"/>
        <v/>
      </c>
      <c r="BI24" s="27" t="str">
        <f t="shared" ca="1" si="7"/>
        <v/>
      </c>
      <c r="BJ24" s="27" t="str">
        <f t="shared" ca="1" si="7"/>
        <v/>
      </c>
      <c r="BK24" s="27" t="str">
        <f t="shared" ca="1" si="7"/>
        <v/>
      </c>
      <c r="BL24" s="27" t="str">
        <f t="shared" ca="1" si="7"/>
        <v/>
      </c>
      <c r="BM24" s="28"/>
    </row>
    <row r="25" spans="1:65" s="1" customFormat="1" ht="40.15" customHeight="1" x14ac:dyDescent="0.25">
      <c r="A25" s="9"/>
      <c r="B25" s="25" t="s">
        <v>4</v>
      </c>
      <c r="C25" s="21" t="s">
        <v>13</v>
      </c>
      <c r="D25" s="21"/>
      <c r="E25" s="22"/>
      <c r="F25" s="23">
        <f ca="1">F24+3</f>
        <v>46130</v>
      </c>
      <c r="G25" s="24">
        <v>14</v>
      </c>
      <c r="H25" s="19"/>
      <c r="I25" s="47" t="str">
        <f t="shared" ca="1" si="8"/>
        <v/>
      </c>
      <c r="J25" s="27" t="str">
        <f t="shared" ca="1" si="4"/>
        <v/>
      </c>
      <c r="K25" s="27" t="str">
        <f t="shared" ca="1" si="4"/>
        <v/>
      </c>
      <c r="L25" s="27" t="str">
        <f t="shared" ca="1" si="4"/>
        <v/>
      </c>
      <c r="M25" s="27" t="str">
        <f t="shared" ca="1" si="4"/>
        <v/>
      </c>
      <c r="N25" s="27" t="str">
        <f t="shared" ca="1" si="4"/>
        <v/>
      </c>
      <c r="O25" s="27" t="str">
        <f t="shared" ca="1" si="4"/>
        <v/>
      </c>
      <c r="P25" s="27" t="str">
        <f t="shared" ca="1" si="4"/>
        <v/>
      </c>
      <c r="Q25" s="27" t="str">
        <f t="shared" ca="1" si="4"/>
        <v/>
      </c>
      <c r="R25" s="27" t="str">
        <f t="shared" ca="1" si="4"/>
        <v/>
      </c>
      <c r="S25" s="27" t="str">
        <f t="shared" ca="1" si="4"/>
        <v/>
      </c>
      <c r="T25" s="27" t="str">
        <f t="shared" ca="1" si="4"/>
        <v/>
      </c>
      <c r="U25" s="27" t="str">
        <f t="shared" ca="1" si="4"/>
        <v/>
      </c>
      <c r="V25" s="27" t="str">
        <f t="shared" ca="1" si="4"/>
        <v/>
      </c>
      <c r="W25" s="27" t="str">
        <f t="shared" ca="1" si="4"/>
        <v/>
      </c>
      <c r="X25" s="27" t="str">
        <f t="shared" ca="1" si="4"/>
        <v/>
      </c>
      <c r="Y25" s="27" t="str">
        <f t="shared" ca="1" si="5"/>
        <v/>
      </c>
      <c r="Z25" s="27" t="str">
        <f t="shared" ca="1" si="5"/>
        <v/>
      </c>
      <c r="AA25" s="27" t="str">
        <f t="shared" ca="1" si="5"/>
        <v/>
      </c>
      <c r="AB25" s="27" t="str">
        <f t="shared" ca="1" si="5"/>
        <v/>
      </c>
      <c r="AC25" s="27" t="str">
        <f t="shared" ca="1" si="5"/>
        <v/>
      </c>
      <c r="AD25" s="27" t="str">
        <f t="shared" ca="1" si="5"/>
        <v/>
      </c>
      <c r="AE25" s="27" t="str">
        <f t="shared" ca="1" si="5"/>
        <v/>
      </c>
      <c r="AF25" s="27" t="str">
        <f t="shared" ca="1" si="5"/>
        <v/>
      </c>
      <c r="AG25" s="27" t="str">
        <f t="shared" ca="1" si="5"/>
        <v/>
      </c>
      <c r="AH25" s="27" t="str">
        <f t="shared" ca="1" si="5"/>
        <v/>
      </c>
      <c r="AI25" s="27" t="str">
        <f t="shared" ca="1" si="5"/>
        <v/>
      </c>
      <c r="AJ25" s="27" t="str">
        <f t="shared" ca="1" si="5"/>
        <v/>
      </c>
      <c r="AK25" s="27" t="str">
        <f t="shared" ca="1" si="5"/>
        <v/>
      </c>
      <c r="AL25" s="27" t="str">
        <f t="shared" ca="1" si="5"/>
        <v/>
      </c>
      <c r="AM25" s="27" t="str">
        <f t="shared" ca="1" si="5"/>
        <v/>
      </c>
      <c r="AN25" s="27" t="str">
        <f t="shared" ca="1" si="5"/>
        <v/>
      </c>
      <c r="AO25" s="27" t="str">
        <f t="shared" ca="1" si="6"/>
        <v/>
      </c>
      <c r="AP25" s="27" t="str">
        <f t="shared" ca="1" si="6"/>
        <v/>
      </c>
      <c r="AQ25" s="27" t="str">
        <f t="shared" ca="1" si="6"/>
        <v/>
      </c>
      <c r="AR25" s="27" t="str">
        <f t="shared" ca="1" si="6"/>
        <v/>
      </c>
      <c r="AS25" s="27" t="str">
        <f t="shared" ca="1" si="6"/>
        <v/>
      </c>
      <c r="AT25" s="27" t="str">
        <f t="shared" ca="1" si="6"/>
        <v/>
      </c>
      <c r="AU25" s="27" t="str">
        <f t="shared" ca="1" si="6"/>
        <v/>
      </c>
      <c r="AV25" s="27" t="str">
        <f t="shared" ca="1" si="6"/>
        <v/>
      </c>
      <c r="AW25" s="27" t="str">
        <f t="shared" ca="1" si="6"/>
        <v/>
      </c>
      <c r="AX25" s="27" t="str">
        <f t="shared" ca="1" si="6"/>
        <v/>
      </c>
      <c r="AY25" s="27" t="str">
        <f t="shared" ca="1" si="6"/>
        <v/>
      </c>
      <c r="AZ25" s="27" t="str">
        <f t="shared" ca="1" si="6"/>
        <v/>
      </c>
      <c r="BA25" s="27" t="str">
        <f t="shared" ca="1" si="6"/>
        <v/>
      </c>
      <c r="BB25" s="27" t="str">
        <f t="shared" ca="1" si="6"/>
        <v/>
      </c>
      <c r="BC25" s="27" t="str">
        <f t="shared" ca="1" si="6"/>
        <v/>
      </c>
      <c r="BD25" s="27" t="str">
        <f t="shared" ca="1" si="6"/>
        <v/>
      </c>
      <c r="BE25" s="27" t="str">
        <f t="shared" ca="1" si="7"/>
        <v/>
      </c>
      <c r="BF25" s="27" t="str">
        <f t="shared" ca="1" si="7"/>
        <v/>
      </c>
      <c r="BG25" s="27" t="str">
        <f t="shared" ca="1" si="7"/>
        <v/>
      </c>
      <c r="BH25" s="27" t="str">
        <f t="shared" ca="1" si="7"/>
        <v/>
      </c>
      <c r="BI25" s="27" t="str">
        <f t="shared" ca="1" si="7"/>
        <v/>
      </c>
      <c r="BJ25" s="27" t="str">
        <f t="shared" ca="1" si="7"/>
        <v/>
      </c>
      <c r="BK25" s="27" t="str">
        <f t="shared" ca="1" si="7"/>
        <v/>
      </c>
      <c r="BL25" s="27" t="str">
        <f t="shared" ca="1" si="7"/>
        <v/>
      </c>
      <c r="BM25" s="28"/>
    </row>
    <row r="26" spans="1:65" s="1" customFormat="1" ht="40.15" customHeight="1" x14ac:dyDescent="0.25">
      <c r="A26" s="9"/>
      <c r="B26" s="25" t="s">
        <v>0</v>
      </c>
      <c r="C26" s="21" t="s">
        <v>16</v>
      </c>
      <c r="D26" s="21"/>
      <c r="E26" s="22"/>
      <c r="F26" s="23">
        <f ca="1">F25+15</f>
        <v>46145</v>
      </c>
      <c r="G26" s="24">
        <v>6</v>
      </c>
      <c r="H26" s="19"/>
      <c r="I26" s="47" t="str">
        <f t="shared" ca="1" si="8"/>
        <v/>
      </c>
      <c r="J26" s="27" t="str">
        <f t="shared" ca="1" si="4"/>
        <v/>
      </c>
      <c r="K26" s="27" t="str">
        <f t="shared" ca="1" si="4"/>
        <v/>
      </c>
      <c r="L26" s="27" t="str">
        <f t="shared" ca="1" si="4"/>
        <v/>
      </c>
      <c r="M26" s="27" t="str">
        <f t="shared" ca="1" si="4"/>
        <v/>
      </c>
      <c r="N26" s="27" t="str">
        <f t="shared" ca="1" si="4"/>
        <v/>
      </c>
      <c r="O26" s="27" t="str">
        <f t="shared" ca="1" si="4"/>
        <v/>
      </c>
      <c r="P26" s="27" t="str">
        <f t="shared" ca="1" si="4"/>
        <v/>
      </c>
      <c r="Q26" s="27" t="str">
        <f t="shared" ca="1" si="4"/>
        <v/>
      </c>
      <c r="R26" s="27" t="str">
        <f t="shared" ca="1" si="4"/>
        <v/>
      </c>
      <c r="S26" s="27" t="str">
        <f t="shared" ca="1" si="4"/>
        <v/>
      </c>
      <c r="T26" s="27" t="str">
        <f t="shared" ca="1" si="4"/>
        <v/>
      </c>
      <c r="U26" s="27" t="str">
        <f t="shared" ca="1" si="4"/>
        <v/>
      </c>
      <c r="V26" s="27" t="str">
        <f t="shared" ca="1" si="4"/>
        <v/>
      </c>
      <c r="W26" s="27" t="str">
        <f t="shared" ca="1" si="4"/>
        <v/>
      </c>
      <c r="X26" s="27" t="str">
        <f t="shared" ca="1" si="4"/>
        <v/>
      </c>
      <c r="Y26" s="27" t="str">
        <f t="shared" ca="1" si="5"/>
        <v/>
      </c>
      <c r="Z26" s="27" t="str">
        <f t="shared" ca="1" si="5"/>
        <v/>
      </c>
      <c r="AA26" s="27" t="str">
        <f t="shared" ca="1" si="5"/>
        <v/>
      </c>
      <c r="AB26" s="27" t="str">
        <f t="shared" ca="1" si="5"/>
        <v/>
      </c>
      <c r="AC26" s="27" t="str">
        <f t="shared" ca="1" si="5"/>
        <v/>
      </c>
      <c r="AD26" s="27" t="str">
        <f t="shared" ca="1" si="5"/>
        <v/>
      </c>
      <c r="AE26" s="27" t="str">
        <f t="shared" ca="1" si="5"/>
        <v/>
      </c>
      <c r="AF26" s="27" t="str">
        <f t="shared" ca="1" si="5"/>
        <v/>
      </c>
      <c r="AG26" s="27" t="str">
        <f t="shared" ca="1" si="5"/>
        <v/>
      </c>
      <c r="AH26" s="27" t="str">
        <f t="shared" ca="1" si="5"/>
        <v/>
      </c>
      <c r="AI26" s="27" t="str">
        <f t="shared" ca="1" si="5"/>
        <v/>
      </c>
      <c r="AJ26" s="27" t="str">
        <f t="shared" ca="1" si="5"/>
        <v/>
      </c>
      <c r="AK26" s="27" t="str">
        <f t="shared" ca="1" si="5"/>
        <v/>
      </c>
      <c r="AL26" s="27" t="str">
        <f t="shared" ca="1" si="5"/>
        <v/>
      </c>
      <c r="AM26" s="27" t="str">
        <f t="shared" ca="1" si="5"/>
        <v/>
      </c>
      <c r="AN26" s="27" t="str">
        <f t="shared" ref="AN26:BC35" ca="1" si="9">IF(AND($C26="Goal",AN$7&gt;=$F26,AN$7&lt;=$F26+$G26-1),2,IF(AND($C26="Milestone",AN$7&gt;=$F26,AN$7&lt;=$F26+$G26-1),1,""))</f>
        <v/>
      </c>
      <c r="AO26" s="27" t="str">
        <f t="shared" ca="1" si="6"/>
        <v/>
      </c>
      <c r="AP26" s="27" t="str">
        <f t="shared" ca="1" si="6"/>
        <v/>
      </c>
      <c r="AQ26" s="27" t="str">
        <f t="shared" ca="1" si="6"/>
        <v/>
      </c>
      <c r="AR26" s="27" t="str">
        <f t="shared" ca="1" si="6"/>
        <v/>
      </c>
      <c r="AS26" s="27" t="str">
        <f t="shared" ca="1" si="6"/>
        <v/>
      </c>
      <c r="AT26" s="27" t="str">
        <f t="shared" ca="1" si="6"/>
        <v/>
      </c>
      <c r="AU26" s="27" t="str">
        <f t="shared" ca="1" si="6"/>
        <v/>
      </c>
      <c r="AV26" s="27" t="str">
        <f t="shared" ca="1" si="6"/>
        <v/>
      </c>
      <c r="AW26" s="27" t="str">
        <f t="shared" ca="1" si="6"/>
        <v/>
      </c>
      <c r="AX26" s="27" t="str">
        <f t="shared" ca="1" si="6"/>
        <v/>
      </c>
      <c r="AY26" s="27" t="str">
        <f t="shared" ca="1" si="6"/>
        <v/>
      </c>
      <c r="AZ26" s="27" t="str">
        <f t="shared" ca="1" si="6"/>
        <v/>
      </c>
      <c r="BA26" s="27" t="str">
        <f t="shared" ca="1" si="6"/>
        <v/>
      </c>
      <c r="BB26" s="27" t="str">
        <f t="shared" ca="1" si="6"/>
        <v/>
      </c>
      <c r="BC26" s="27" t="str">
        <f t="shared" ca="1" si="6"/>
        <v/>
      </c>
      <c r="BD26" s="27" t="str">
        <f t="shared" ref="BD26:BL35" ca="1" si="10">IF(AND($C26="Goal",BD$7&gt;=$F26,BD$7&lt;=$F26+$G26-1),2,IF(AND($C26="Milestone",BD$7&gt;=$F26,BD$7&lt;=$F26+$G26-1),1,""))</f>
        <v/>
      </c>
      <c r="BE26" s="27" t="str">
        <f t="shared" ca="1" si="7"/>
        <v/>
      </c>
      <c r="BF26" s="27" t="str">
        <f t="shared" ca="1" si="7"/>
        <v/>
      </c>
      <c r="BG26" s="27" t="str">
        <f t="shared" ca="1" si="7"/>
        <v/>
      </c>
      <c r="BH26" s="27" t="str">
        <f t="shared" ca="1" si="7"/>
        <v/>
      </c>
      <c r="BI26" s="27" t="str">
        <f t="shared" ca="1" si="7"/>
        <v/>
      </c>
      <c r="BJ26" s="27" t="str">
        <f t="shared" ca="1" si="7"/>
        <v/>
      </c>
      <c r="BK26" s="27" t="str">
        <f t="shared" ca="1" si="7"/>
        <v/>
      </c>
      <c r="BL26" s="27" t="str">
        <f t="shared" ca="1" si="7"/>
        <v/>
      </c>
      <c r="BM26" s="28"/>
    </row>
    <row r="27" spans="1:65" s="1" customFormat="1" ht="40.15" customHeight="1" x14ac:dyDescent="0.25">
      <c r="A27" s="9"/>
      <c r="B27" s="25" t="s">
        <v>1</v>
      </c>
      <c r="C27" s="21" t="s">
        <v>8</v>
      </c>
      <c r="D27" s="21"/>
      <c r="E27" s="22"/>
      <c r="F27" s="23">
        <f ca="1">F21+22</f>
        <v>46149</v>
      </c>
      <c r="G27" s="24">
        <v>3</v>
      </c>
      <c r="H27" s="19"/>
      <c r="I27" s="47" t="str">
        <f t="shared" ca="1" si="8"/>
        <v/>
      </c>
      <c r="J27" s="27" t="str">
        <f t="shared" ca="1" si="8"/>
        <v/>
      </c>
      <c r="K27" s="27" t="str">
        <f t="shared" ca="1" si="8"/>
        <v/>
      </c>
      <c r="L27" s="27" t="str">
        <f t="shared" ca="1" si="8"/>
        <v/>
      </c>
      <c r="M27" s="27" t="str">
        <f t="shared" ca="1" si="8"/>
        <v/>
      </c>
      <c r="N27" s="27" t="str">
        <f t="shared" ca="1" si="8"/>
        <v/>
      </c>
      <c r="O27" s="27" t="str">
        <f t="shared" ca="1" si="8"/>
        <v/>
      </c>
      <c r="P27" s="27" t="str">
        <f t="shared" ca="1" si="8"/>
        <v/>
      </c>
      <c r="Q27" s="27" t="str">
        <f t="shared" ca="1" si="8"/>
        <v/>
      </c>
      <c r="R27" s="27" t="str">
        <f t="shared" ca="1" si="8"/>
        <v/>
      </c>
      <c r="S27" s="27" t="str">
        <f t="shared" ca="1" si="8"/>
        <v/>
      </c>
      <c r="T27" s="27" t="str">
        <f t="shared" ca="1" si="8"/>
        <v/>
      </c>
      <c r="U27" s="27" t="str">
        <f t="shared" ca="1" si="8"/>
        <v/>
      </c>
      <c r="V27" s="27" t="str">
        <f t="shared" ca="1" si="8"/>
        <v/>
      </c>
      <c r="W27" s="27" t="str">
        <f t="shared" ca="1" si="8"/>
        <v/>
      </c>
      <c r="X27" s="27" t="str">
        <f t="shared" ca="1" si="8"/>
        <v/>
      </c>
      <c r="Y27" s="27" t="str">
        <f t="shared" ref="Y27:AM35" ca="1" si="11">IF(AND($C27="Goal",Y$7&gt;=$F27,Y$7&lt;=$F27+$G27-1),2,IF(AND($C27="Milestone",Y$7&gt;=$F27,Y$7&lt;=$F27+$G27-1),1,""))</f>
        <v/>
      </c>
      <c r="Z27" s="27" t="str">
        <f t="shared" ca="1" si="11"/>
        <v/>
      </c>
      <c r="AA27" s="27" t="str">
        <f t="shared" ca="1" si="11"/>
        <v/>
      </c>
      <c r="AB27" s="27" t="str">
        <f t="shared" ca="1" si="11"/>
        <v/>
      </c>
      <c r="AC27" s="27" t="str">
        <f t="shared" ca="1" si="11"/>
        <v/>
      </c>
      <c r="AD27" s="27" t="str">
        <f t="shared" ca="1" si="11"/>
        <v/>
      </c>
      <c r="AE27" s="27" t="str">
        <f t="shared" ca="1" si="11"/>
        <v/>
      </c>
      <c r="AF27" s="27" t="str">
        <f t="shared" ca="1" si="11"/>
        <v/>
      </c>
      <c r="AG27" s="27" t="str">
        <f t="shared" ca="1" si="11"/>
        <v/>
      </c>
      <c r="AH27" s="27" t="str">
        <f t="shared" ca="1" si="11"/>
        <v/>
      </c>
      <c r="AI27" s="27" t="str">
        <f t="shared" ca="1" si="11"/>
        <v/>
      </c>
      <c r="AJ27" s="27" t="str">
        <f t="shared" ca="1" si="11"/>
        <v/>
      </c>
      <c r="AK27" s="27" t="str">
        <f t="shared" ca="1" si="11"/>
        <v/>
      </c>
      <c r="AL27" s="27" t="str">
        <f t="shared" ca="1" si="11"/>
        <v/>
      </c>
      <c r="AM27" s="27" t="str">
        <f t="shared" ca="1" si="11"/>
        <v/>
      </c>
      <c r="AN27" s="27" t="str">
        <f t="shared" ca="1" si="9"/>
        <v/>
      </c>
      <c r="AO27" s="27" t="str">
        <f t="shared" ca="1" si="9"/>
        <v/>
      </c>
      <c r="AP27" s="27" t="str">
        <f t="shared" ca="1" si="9"/>
        <v/>
      </c>
      <c r="AQ27" s="27" t="str">
        <f t="shared" ca="1" si="9"/>
        <v/>
      </c>
      <c r="AR27" s="27" t="str">
        <f t="shared" ca="1" si="9"/>
        <v/>
      </c>
      <c r="AS27" s="27">
        <f t="shared" ca="1" si="9"/>
        <v>2</v>
      </c>
      <c r="AT27" s="27">
        <f t="shared" ca="1" si="9"/>
        <v>2</v>
      </c>
      <c r="AU27" s="27">
        <f t="shared" ca="1" si="9"/>
        <v>2</v>
      </c>
      <c r="AV27" s="27" t="str">
        <f t="shared" ca="1" si="9"/>
        <v/>
      </c>
      <c r="AW27" s="27" t="str">
        <f t="shared" ca="1" si="9"/>
        <v/>
      </c>
      <c r="AX27" s="27" t="str">
        <f t="shared" ca="1" si="9"/>
        <v/>
      </c>
      <c r="AY27" s="27" t="str">
        <f t="shared" ca="1" si="9"/>
        <v/>
      </c>
      <c r="AZ27" s="27" t="str">
        <f t="shared" ca="1" si="9"/>
        <v/>
      </c>
      <c r="BA27" s="27" t="str">
        <f t="shared" ca="1" si="9"/>
        <v/>
      </c>
      <c r="BB27" s="27" t="str">
        <f t="shared" ca="1" si="9"/>
        <v/>
      </c>
      <c r="BC27" s="27" t="str">
        <f t="shared" ca="1" si="9"/>
        <v/>
      </c>
      <c r="BD27" s="27" t="str">
        <f t="shared" ca="1" si="10"/>
        <v/>
      </c>
      <c r="BE27" s="27" t="str">
        <f t="shared" ca="1" si="10"/>
        <v/>
      </c>
      <c r="BF27" s="27" t="str">
        <f t="shared" ca="1" si="10"/>
        <v/>
      </c>
      <c r="BG27" s="27" t="str">
        <f t="shared" ca="1" si="10"/>
        <v/>
      </c>
      <c r="BH27" s="27" t="str">
        <f t="shared" ca="1" si="10"/>
        <v/>
      </c>
      <c r="BI27" s="27" t="str">
        <f t="shared" ca="1" si="10"/>
        <v/>
      </c>
      <c r="BJ27" s="27" t="str">
        <f t="shared" ca="1" si="10"/>
        <v/>
      </c>
      <c r="BK27" s="27" t="str">
        <f t="shared" ca="1" si="10"/>
        <v/>
      </c>
      <c r="BL27" s="27" t="str">
        <f t="shared" ca="1" si="10"/>
        <v/>
      </c>
      <c r="BM27" s="28"/>
    </row>
    <row r="28" spans="1:65" s="1" customFormat="1" ht="40.15" customHeight="1" x14ac:dyDescent="0.25">
      <c r="A28" s="9"/>
      <c r="B28" s="25" t="s">
        <v>2</v>
      </c>
      <c r="C28" s="21" t="s">
        <v>14</v>
      </c>
      <c r="D28" s="21"/>
      <c r="E28" s="22"/>
      <c r="F28" s="23">
        <f ca="1">F16</f>
        <v>46118</v>
      </c>
      <c r="G28" s="24">
        <v>19</v>
      </c>
      <c r="H28" s="19"/>
      <c r="I28" s="47" t="str">
        <f t="shared" ca="1" si="8"/>
        <v/>
      </c>
      <c r="J28" s="27" t="str">
        <f t="shared" ca="1" si="8"/>
        <v/>
      </c>
      <c r="K28" s="27" t="str">
        <f t="shared" ca="1" si="8"/>
        <v/>
      </c>
      <c r="L28" s="27" t="str">
        <f t="shared" ca="1" si="8"/>
        <v/>
      </c>
      <c r="M28" s="27" t="str">
        <f t="shared" ca="1" si="8"/>
        <v/>
      </c>
      <c r="N28" s="27" t="str">
        <f t="shared" ca="1" si="8"/>
        <v/>
      </c>
      <c r="O28" s="27" t="str">
        <f t="shared" ca="1" si="8"/>
        <v/>
      </c>
      <c r="P28" s="27" t="str">
        <f t="shared" ca="1" si="8"/>
        <v/>
      </c>
      <c r="Q28" s="27" t="str">
        <f t="shared" ca="1" si="8"/>
        <v/>
      </c>
      <c r="R28" s="27" t="str">
        <f t="shared" ca="1" si="8"/>
        <v/>
      </c>
      <c r="S28" s="27" t="str">
        <f t="shared" ca="1" si="8"/>
        <v/>
      </c>
      <c r="T28" s="27" t="str">
        <f t="shared" ca="1" si="8"/>
        <v/>
      </c>
      <c r="U28" s="27" t="str">
        <f t="shared" ca="1" si="8"/>
        <v/>
      </c>
      <c r="V28" s="27" t="str">
        <f t="shared" ca="1" si="8"/>
        <v/>
      </c>
      <c r="W28" s="27" t="str">
        <f t="shared" ca="1" si="8"/>
        <v/>
      </c>
      <c r="X28" s="27" t="str">
        <f t="shared" ca="1" si="8"/>
        <v/>
      </c>
      <c r="Y28" s="27" t="str">
        <f t="shared" ca="1" si="11"/>
        <v/>
      </c>
      <c r="Z28" s="27" t="str">
        <f t="shared" ca="1" si="11"/>
        <v/>
      </c>
      <c r="AA28" s="27" t="str">
        <f t="shared" ca="1" si="11"/>
        <v/>
      </c>
      <c r="AB28" s="27" t="str">
        <f t="shared" ca="1" si="11"/>
        <v/>
      </c>
      <c r="AC28" s="27" t="str">
        <f t="shared" ca="1" si="11"/>
        <v/>
      </c>
      <c r="AD28" s="27" t="str">
        <f t="shared" ca="1" si="11"/>
        <v/>
      </c>
      <c r="AE28" s="27" t="str">
        <f t="shared" ca="1" si="11"/>
        <v/>
      </c>
      <c r="AF28" s="27" t="str">
        <f t="shared" ca="1" si="11"/>
        <v/>
      </c>
      <c r="AG28" s="27" t="str">
        <f t="shared" ca="1" si="11"/>
        <v/>
      </c>
      <c r="AH28" s="27" t="str">
        <f t="shared" ca="1" si="11"/>
        <v/>
      </c>
      <c r="AI28" s="27" t="str">
        <f t="shared" ca="1" si="11"/>
        <v/>
      </c>
      <c r="AJ28" s="27" t="str">
        <f t="shared" ca="1" si="11"/>
        <v/>
      </c>
      <c r="AK28" s="27" t="str">
        <f t="shared" ca="1" si="11"/>
        <v/>
      </c>
      <c r="AL28" s="27" t="str">
        <f t="shared" ca="1" si="11"/>
        <v/>
      </c>
      <c r="AM28" s="27" t="str">
        <f t="shared" ca="1" si="11"/>
        <v/>
      </c>
      <c r="AN28" s="27" t="str">
        <f t="shared" ca="1" si="9"/>
        <v/>
      </c>
      <c r="AO28" s="27" t="str">
        <f t="shared" ca="1" si="9"/>
        <v/>
      </c>
      <c r="AP28" s="27" t="str">
        <f t="shared" ca="1" si="9"/>
        <v/>
      </c>
      <c r="AQ28" s="27" t="str">
        <f t="shared" ca="1" si="9"/>
        <v/>
      </c>
      <c r="AR28" s="27" t="str">
        <f t="shared" ca="1" si="9"/>
        <v/>
      </c>
      <c r="AS28" s="27" t="str">
        <f t="shared" ca="1" si="9"/>
        <v/>
      </c>
      <c r="AT28" s="27" t="str">
        <f t="shared" ca="1" si="9"/>
        <v/>
      </c>
      <c r="AU28" s="27" t="str">
        <f t="shared" ca="1" si="9"/>
        <v/>
      </c>
      <c r="AV28" s="27" t="str">
        <f t="shared" ca="1" si="9"/>
        <v/>
      </c>
      <c r="AW28" s="27" t="str">
        <f t="shared" ca="1" si="9"/>
        <v/>
      </c>
      <c r="AX28" s="27" t="str">
        <f t="shared" ca="1" si="9"/>
        <v/>
      </c>
      <c r="AY28" s="27" t="str">
        <f t="shared" ca="1" si="9"/>
        <v/>
      </c>
      <c r="AZ28" s="27" t="str">
        <f t="shared" ca="1" si="9"/>
        <v/>
      </c>
      <c r="BA28" s="27" t="str">
        <f t="shared" ca="1" si="9"/>
        <v/>
      </c>
      <c r="BB28" s="27" t="str">
        <f t="shared" ca="1" si="9"/>
        <v/>
      </c>
      <c r="BC28" s="27" t="str">
        <f t="shared" ca="1" si="9"/>
        <v/>
      </c>
      <c r="BD28" s="27" t="str">
        <f t="shared" ca="1" si="10"/>
        <v/>
      </c>
      <c r="BE28" s="27" t="str">
        <f t="shared" ca="1" si="10"/>
        <v/>
      </c>
      <c r="BF28" s="27" t="str">
        <f t="shared" ca="1" si="10"/>
        <v/>
      </c>
      <c r="BG28" s="27" t="str">
        <f t="shared" ca="1" si="10"/>
        <v/>
      </c>
      <c r="BH28" s="27" t="str">
        <f t="shared" ca="1" si="10"/>
        <v/>
      </c>
      <c r="BI28" s="27" t="str">
        <f t="shared" ca="1" si="10"/>
        <v/>
      </c>
      <c r="BJ28" s="27" t="str">
        <f t="shared" ca="1" si="10"/>
        <v/>
      </c>
      <c r="BK28" s="27" t="str">
        <f t="shared" ca="1" si="10"/>
        <v/>
      </c>
      <c r="BL28" s="27" t="str">
        <f t="shared" ca="1" si="10"/>
        <v/>
      </c>
      <c r="BM28" s="28"/>
    </row>
    <row r="29" spans="1:65" s="1" customFormat="1" ht="40.15" customHeight="1" x14ac:dyDescent="0.25">
      <c r="A29" s="9"/>
      <c r="B29" s="121" t="s">
        <v>33</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15" customHeight="1" x14ac:dyDescent="0.25">
      <c r="A30" s="9"/>
      <c r="B30" s="25" t="s">
        <v>3</v>
      </c>
      <c r="C30" s="21"/>
      <c r="D30" s="21"/>
      <c r="E30" s="22"/>
      <c r="F30" s="23">
        <f ca="1">F27+3</f>
        <v>46152</v>
      </c>
      <c r="G30" s="24">
        <v>15</v>
      </c>
      <c r="H30" s="19"/>
      <c r="I30" s="47" t="str">
        <f t="shared" ca="1" si="12"/>
        <v/>
      </c>
      <c r="J30" s="27" t="str">
        <f t="shared" ca="1" si="12"/>
        <v/>
      </c>
      <c r="K30" s="27" t="str">
        <f t="shared" ca="1" si="12"/>
        <v/>
      </c>
      <c r="L30" s="27" t="str">
        <f t="shared" ca="1" si="12"/>
        <v/>
      </c>
      <c r="M30" s="27" t="str">
        <f t="shared" ca="1" si="12"/>
        <v/>
      </c>
      <c r="N30" s="27" t="str">
        <f t="shared" ca="1" si="12"/>
        <v/>
      </c>
      <c r="O30" s="27" t="str">
        <f t="shared" ca="1" si="12"/>
        <v/>
      </c>
      <c r="P30" s="27" t="str">
        <f t="shared" ca="1" si="12"/>
        <v/>
      </c>
      <c r="Q30" s="27" t="str">
        <f t="shared" ca="1" si="12"/>
        <v/>
      </c>
      <c r="R30" s="27" t="str">
        <f t="shared" ca="1" si="12"/>
        <v/>
      </c>
      <c r="S30" s="27" t="str">
        <f t="shared" ca="1" si="12"/>
        <v/>
      </c>
      <c r="T30" s="27" t="str">
        <f t="shared" ca="1" si="12"/>
        <v/>
      </c>
      <c r="U30" s="27" t="str">
        <f t="shared" ca="1" si="12"/>
        <v/>
      </c>
      <c r="V30" s="27" t="str">
        <f t="shared" ca="1" si="12"/>
        <v/>
      </c>
      <c r="W30" s="27" t="str">
        <f t="shared" ca="1" si="12"/>
        <v/>
      </c>
      <c r="X30" s="27" t="str">
        <f t="shared" ca="1" si="12"/>
        <v/>
      </c>
      <c r="Y30" s="27" t="str">
        <f t="shared" ca="1" si="11"/>
        <v/>
      </c>
      <c r="Z30" s="27" t="str">
        <f t="shared" ca="1" si="11"/>
        <v/>
      </c>
      <c r="AA30" s="27" t="str">
        <f t="shared" ca="1" si="11"/>
        <v/>
      </c>
      <c r="AB30" s="27" t="str">
        <f t="shared" ca="1" si="11"/>
        <v/>
      </c>
      <c r="AC30" s="27" t="str">
        <f t="shared" ca="1" si="11"/>
        <v/>
      </c>
      <c r="AD30" s="27" t="str">
        <f t="shared" ca="1" si="11"/>
        <v/>
      </c>
      <c r="AE30" s="27" t="str">
        <f t="shared" ca="1" si="11"/>
        <v/>
      </c>
      <c r="AF30" s="27" t="str">
        <f t="shared" ca="1" si="11"/>
        <v/>
      </c>
      <c r="AG30" s="27" t="str">
        <f t="shared" ca="1" si="11"/>
        <v/>
      </c>
      <c r="AH30" s="27" t="str">
        <f t="shared" ca="1" si="11"/>
        <v/>
      </c>
      <c r="AI30" s="27" t="str">
        <f t="shared" ca="1" si="11"/>
        <v/>
      </c>
      <c r="AJ30" s="27" t="str">
        <f t="shared" ca="1" si="11"/>
        <v/>
      </c>
      <c r="AK30" s="27" t="str">
        <f t="shared" ca="1" si="11"/>
        <v/>
      </c>
      <c r="AL30" s="27" t="str">
        <f t="shared" ca="1" si="11"/>
        <v/>
      </c>
      <c r="AM30" s="27" t="str">
        <f t="shared" ca="1" si="11"/>
        <v/>
      </c>
      <c r="AN30" s="27" t="str">
        <f t="shared" ca="1" si="9"/>
        <v/>
      </c>
      <c r="AO30" s="27" t="str">
        <f t="shared" ca="1" si="9"/>
        <v/>
      </c>
      <c r="AP30" s="27" t="str">
        <f t="shared" ca="1" si="9"/>
        <v/>
      </c>
      <c r="AQ30" s="27" t="str">
        <f t="shared" ca="1" si="9"/>
        <v/>
      </c>
      <c r="AR30" s="27" t="str">
        <f t="shared" ca="1" si="9"/>
        <v/>
      </c>
      <c r="AS30" s="27" t="str">
        <f t="shared" ca="1" si="9"/>
        <v/>
      </c>
      <c r="AT30" s="27" t="str">
        <f t="shared" ca="1" si="9"/>
        <v/>
      </c>
      <c r="AU30" s="27" t="str">
        <f t="shared" ca="1" si="9"/>
        <v/>
      </c>
      <c r="AV30" s="27" t="str">
        <f t="shared" ca="1" si="9"/>
        <v/>
      </c>
      <c r="AW30" s="27" t="str">
        <f t="shared" ca="1" si="9"/>
        <v/>
      </c>
      <c r="AX30" s="27" t="str">
        <f t="shared" ca="1" si="9"/>
        <v/>
      </c>
      <c r="AY30" s="27" t="str">
        <f t="shared" ca="1" si="9"/>
        <v/>
      </c>
      <c r="AZ30" s="27" t="str">
        <f t="shared" ca="1" si="9"/>
        <v/>
      </c>
      <c r="BA30" s="27" t="str">
        <f t="shared" ca="1" si="9"/>
        <v/>
      </c>
      <c r="BB30" s="27" t="str">
        <f t="shared" ca="1" si="9"/>
        <v/>
      </c>
      <c r="BC30" s="27" t="str">
        <f t="shared" ca="1" si="9"/>
        <v/>
      </c>
      <c r="BD30" s="27" t="str">
        <f t="shared" ca="1" si="10"/>
        <v/>
      </c>
      <c r="BE30" s="27" t="str">
        <f t="shared" ca="1" si="10"/>
        <v/>
      </c>
      <c r="BF30" s="27" t="str">
        <f t="shared" ca="1" si="10"/>
        <v/>
      </c>
      <c r="BG30" s="27" t="str">
        <f t="shared" ca="1" si="10"/>
        <v/>
      </c>
      <c r="BH30" s="27" t="str">
        <f t="shared" ca="1" si="10"/>
        <v/>
      </c>
      <c r="BI30" s="27" t="str">
        <f t="shared" ca="1" si="10"/>
        <v/>
      </c>
      <c r="BJ30" s="27" t="str">
        <f t="shared" ca="1" si="10"/>
        <v/>
      </c>
      <c r="BK30" s="27" t="str">
        <f t="shared" ca="1" si="10"/>
        <v/>
      </c>
      <c r="BL30" s="27" t="str">
        <f t="shared" ca="1" si="10"/>
        <v/>
      </c>
      <c r="BM30" s="28"/>
    </row>
    <row r="31" spans="1:65" s="1" customFormat="1" ht="40.15" customHeight="1" x14ac:dyDescent="0.25">
      <c r="A31" s="9"/>
      <c r="B31" s="25" t="s">
        <v>4</v>
      </c>
      <c r="C31" s="21"/>
      <c r="D31" s="21"/>
      <c r="E31" s="22"/>
      <c r="F31" s="23">
        <f ca="1">F30+14</f>
        <v>46166</v>
      </c>
      <c r="G31" s="24">
        <v>5</v>
      </c>
      <c r="H31" s="19"/>
      <c r="I31" s="47" t="str">
        <f t="shared" ca="1" si="12"/>
        <v/>
      </c>
      <c r="J31" s="27" t="str">
        <f t="shared" ca="1" si="12"/>
        <v/>
      </c>
      <c r="K31" s="27" t="str">
        <f t="shared" ca="1" si="12"/>
        <v/>
      </c>
      <c r="L31" s="27" t="str">
        <f t="shared" ca="1" si="12"/>
        <v/>
      </c>
      <c r="M31" s="27" t="str">
        <f t="shared" ca="1" si="12"/>
        <v/>
      </c>
      <c r="N31" s="27" t="str">
        <f t="shared" ca="1" si="12"/>
        <v/>
      </c>
      <c r="O31" s="27" t="str">
        <f t="shared" ca="1" si="12"/>
        <v/>
      </c>
      <c r="P31" s="27" t="str">
        <f t="shared" ca="1" si="12"/>
        <v/>
      </c>
      <c r="Q31" s="27" t="str">
        <f t="shared" ca="1" si="12"/>
        <v/>
      </c>
      <c r="R31" s="27" t="str">
        <f t="shared" ca="1" si="12"/>
        <v/>
      </c>
      <c r="S31" s="27" t="str">
        <f t="shared" ca="1" si="12"/>
        <v/>
      </c>
      <c r="T31" s="27" t="str">
        <f t="shared" ca="1" si="12"/>
        <v/>
      </c>
      <c r="U31" s="27" t="str">
        <f t="shared" ca="1" si="12"/>
        <v/>
      </c>
      <c r="V31" s="27" t="str">
        <f t="shared" ca="1" si="12"/>
        <v/>
      </c>
      <c r="W31" s="27" t="str">
        <f t="shared" ca="1" si="12"/>
        <v/>
      </c>
      <c r="X31" s="27" t="str">
        <f t="shared" ca="1" si="12"/>
        <v/>
      </c>
      <c r="Y31" s="27" t="str">
        <f t="shared" ca="1" si="11"/>
        <v/>
      </c>
      <c r="Z31" s="27" t="str">
        <f t="shared" ca="1" si="11"/>
        <v/>
      </c>
      <c r="AA31" s="27" t="str">
        <f t="shared" ca="1" si="11"/>
        <v/>
      </c>
      <c r="AB31" s="27" t="str">
        <f t="shared" ca="1" si="11"/>
        <v/>
      </c>
      <c r="AC31" s="27" t="str">
        <f t="shared" ca="1" si="11"/>
        <v/>
      </c>
      <c r="AD31" s="27" t="str">
        <f t="shared" ca="1" si="11"/>
        <v/>
      </c>
      <c r="AE31" s="27" t="str">
        <f t="shared" ca="1" si="11"/>
        <v/>
      </c>
      <c r="AF31" s="27" t="str">
        <f t="shared" ca="1" si="11"/>
        <v/>
      </c>
      <c r="AG31" s="27" t="str">
        <f t="shared" ca="1" si="11"/>
        <v/>
      </c>
      <c r="AH31" s="27" t="str">
        <f t="shared" ca="1" si="11"/>
        <v/>
      </c>
      <c r="AI31" s="27" t="str">
        <f t="shared" ca="1" si="11"/>
        <v/>
      </c>
      <c r="AJ31" s="27" t="str">
        <f t="shared" ca="1" si="11"/>
        <v/>
      </c>
      <c r="AK31" s="27" t="str">
        <f t="shared" ca="1" si="11"/>
        <v/>
      </c>
      <c r="AL31" s="27" t="str">
        <f t="shared" ca="1" si="11"/>
        <v/>
      </c>
      <c r="AM31" s="27" t="str">
        <f t="shared" ca="1" si="11"/>
        <v/>
      </c>
      <c r="AN31" s="27" t="str">
        <f t="shared" ca="1" si="9"/>
        <v/>
      </c>
      <c r="AO31" s="27" t="str">
        <f t="shared" ca="1" si="9"/>
        <v/>
      </c>
      <c r="AP31" s="27" t="str">
        <f t="shared" ca="1" si="9"/>
        <v/>
      </c>
      <c r="AQ31" s="27" t="str">
        <f t="shared" ca="1" si="9"/>
        <v/>
      </c>
      <c r="AR31" s="27" t="str">
        <f t="shared" ca="1" si="9"/>
        <v/>
      </c>
      <c r="AS31" s="27" t="str">
        <f t="shared" ca="1" si="9"/>
        <v/>
      </c>
      <c r="AT31" s="27" t="str">
        <f t="shared" ca="1" si="9"/>
        <v/>
      </c>
      <c r="AU31" s="27" t="str">
        <f t="shared" ca="1" si="9"/>
        <v/>
      </c>
      <c r="AV31" s="27" t="str">
        <f t="shared" ca="1" si="9"/>
        <v/>
      </c>
      <c r="AW31" s="27" t="str">
        <f t="shared" ca="1" si="9"/>
        <v/>
      </c>
      <c r="AX31" s="27" t="str">
        <f t="shared" ca="1" si="9"/>
        <v/>
      </c>
      <c r="AY31" s="27" t="str">
        <f t="shared" ca="1" si="9"/>
        <v/>
      </c>
      <c r="AZ31" s="27" t="str">
        <f t="shared" ca="1" si="9"/>
        <v/>
      </c>
      <c r="BA31" s="27" t="str">
        <f t="shared" ca="1" si="9"/>
        <v/>
      </c>
      <c r="BB31" s="27" t="str">
        <f t="shared" ca="1" si="9"/>
        <v/>
      </c>
      <c r="BC31" s="27" t="str">
        <f t="shared" ca="1" si="9"/>
        <v/>
      </c>
      <c r="BD31" s="27" t="str">
        <f t="shared" ca="1" si="10"/>
        <v/>
      </c>
      <c r="BE31" s="27" t="str">
        <f t="shared" ca="1" si="10"/>
        <v/>
      </c>
      <c r="BF31" s="27" t="str">
        <f t="shared" ca="1" si="10"/>
        <v/>
      </c>
      <c r="BG31" s="27" t="str">
        <f t="shared" ca="1" si="10"/>
        <v/>
      </c>
      <c r="BH31" s="27" t="str">
        <f t="shared" ca="1" si="10"/>
        <v/>
      </c>
      <c r="BI31" s="27" t="str">
        <f t="shared" ca="1" si="10"/>
        <v/>
      </c>
      <c r="BJ31" s="27" t="str">
        <f t="shared" ca="1" si="10"/>
        <v/>
      </c>
      <c r="BK31" s="27" t="str">
        <f t="shared" ca="1" si="10"/>
        <v/>
      </c>
      <c r="BL31" s="27" t="str">
        <f t="shared" ca="1" si="10"/>
        <v/>
      </c>
      <c r="BM31" s="28"/>
    </row>
    <row r="32" spans="1:65" s="1" customFormat="1" ht="40.15" customHeight="1" x14ac:dyDescent="0.25">
      <c r="A32" s="9"/>
      <c r="B32" s="25" t="s">
        <v>0</v>
      </c>
      <c r="C32" s="21" t="s">
        <v>9</v>
      </c>
      <c r="D32" s="21"/>
      <c r="E32" s="22"/>
      <c r="F32" s="23">
        <f ca="1">F31+42</f>
        <v>46208</v>
      </c>
      <c r="G32" s="24">
        <v>1</v>
      </c>
      <c r="H32" s="19"/>
      <c r="I32" s="47" t="str">
        <f t="shared" ca="1" si="12"/>
        <v/>
      </c>
      <c r="J32" s="27" t="str">
        <f t="shared" ca="1" si="12"/>
        <v/>
      </c>
      <c r="K32" s="27" t="str">
        <f t="shared" ca="1" si="12"/>
        <v/>
      </c>
      <c r="L32" s="27" t="str">
        <f t="shared" ca="1" si="12"/>
        <v/>
      </c>
      <c r="M32" s="27" t="str">
        <f t="shared" ca="1" si="12"/>
        <v/>
      </c>
      <c r="N32" s="27" t="str">
        <f t="shared" ca="1" si="12"/>
        <v/>
      </c>
      <c r="O32" s="27" t="str">
        <f t="shared" ca="1" si="12"/>
        <v/>
      </c>
      <c r="P32" s="27" t="str">
        <f t="shared" ca="1" si="12"/>
        <v/>
      </c>
      <c r="Q32" s="27" t="str">
        <f t="shared" ca="1" si="12"/>
        <v/>
      </c>
      <c r="R32" s="27" t="str">
        <f t="shared" ca="1" si="12"/>
        <v/>
      </c>
      <c r="S32" s="27" t="str">
        <f t="shared" ca="1" si="12"/>
        <v/>
      </c>
      <c r="T32" s="27" t="str">
        <f t="shared" ca="1" si="12"/>
        <v/>
      </c>
      <c r="U32" s="27" t="str">
        <f t="shared" ca="1" si="12"/>
        <v/>
      </c>
      <c r="V32" s="27" t="str">
        <f t="shared" ca="1" si="12"/>
        <v/>
      </c>
      <c r="W32" s="27" t="str">
        <f t="shared" ca="1" si="12"/>
        <v/>
      </c>
      <c r="X32" s="27" t="str">
        <f t="shared" ca="1" si="12"/>
        <v/>
      </c>
      <c r="Y32" s="27" t="str">
        <f t="shared" ca="1" si="11"/>
        <v/>
      </c>
      <c r="Z32" s="27" t="str">
        <f t="shared" ca="1" si="11"/>
        <v/>
      </c>
      <c r="AA32" s="27" t="str">
        <f t="shared" ca="1" si="11"/>
        <v/>
      </c>
      <c r="AB32" s="27" t="str">
        <f t="shared" ca="1" si="11"/>
        <v/>
      </c>
      <c r="AC32" s="27" t="str">
        <f t="shared" ca="1" si="11"/>
        <v/>
      </c>
      <c r="AD32" s="27" t="str">
        <f t="shared" ca="1" si="11"/>
        <v/>
      </c>
      <c r="AE32" s="27" t="str">
        <f t="shared" ca="1" si="11"/>
        <v/>
      </c>
      <c r="AF32" s="27" t="str">
        <f t="shared" ca="1" si="11"/>
        <v/>
      </c>
      <c r="AG32" s="27" t="str">
        <f t="shared" ca="1" si="11"/>
        <v/>
      </c>
      <c r="AH32" s="27" t="str">
        <f t="shared" ca="1" si="11"/>
        <v/>
      </c>
      <c r="AI32" s="27" t="str">
        <f t="shared" ca="1" si="11"/>
        <v/>
      </c>
      <c r="AJ32" s="27" t="str">
        <f t="shared" ca="1" si="11"/>
        <v/>
      </c>
      <c r="AK32" s="27" t="str">
        <f t="shared" ca="1" si="11"/>
        <v/>
      </c>
      <c r="AL32" s="27" t="str">
        <f t="shared" ca="1" si="11"/>
        <v/>
      </c>
      <c r="AM32" s="27" t="str">
        <f t="shared" ca="1" si="11"/>
        <v/>
      </c>
      <c r="AN32" s="27" t="str">
        <f t="shared" ca="1" si="9"/>
        <v/>
      </c>
      <c r="AO32" s="27" t="str">
        <f t="shared" ca="1" si="9"/>
        <v/>
      </c>
      <c r="AP32" s="27" t="str">
        <f t="shared" ca="1" si="9"/>
        <v/>
      </c>
      <c r="AQ32" s="27" t="str">
        <f t="shared" ca="1" si="9"/>
        <v/>
      </c>
      <c r="AR32" s="27" t="str">
        <f t="shared" ca="1" si="9"/>
        <v/>
      </c>
      <c r="AS32" s="27" t="str">
        <f t="shared" ca="1" si="9"/>
        <v/>
      </c>
      <c r="AT32" s="27" t="str">
        <f t="shared" ca="1" si="9"/>
        <v/>
      </c>
      <c r="AU32" s="27" t="str">
        <f t="shared" ca="1" si="9"/>
        <v/>
      </c>
      <c r="AV32" s="27" t="str">
        <f t="shared" ca="1" si="9"/>
        <v/>
      </c>
      <c r="AW32" s="27" t="str">
        <f t="shared" ca="1" si="9"/>
        <v/>
      </c>
      <c r="AX32" s="27" t="str">
        <f t="shared" ca="1" si="9"/>
        <v/>
      </c>
      <c r="AY32" s="27" t="str">
        <f t="shared" ca="1" si="9"/>
        <v/>
      </c>
      <c r="AZ32" s="27" t="str">
        <f t="shared" ca="1" si="9"/>
        <v/>
      </c>
      <c r="BA32" s="27" t="str">
        <f t="shared" ca="1" si="9"/>
        <v/>
      </c>
      <c r="BB32" s="27" t="str">
        <f t="shared" ca="1" si="9"/>
        <v/>
      </c>
      <c r="BC32" s="27" t="str">
        <f t="shared" ca="1" si="9"/>
        <v/>
      </c>
      <c r="BD32" s="27" t="str">
        <f t="shared" ca="1" si="10"/>
        <v/>
      </c>
      <c r="BE32" s="27" t="str">
        <f t="shared" ca="1" si="10"/>
        <v/>
      </c>
      <c r="BF32" s="27" t="str">
        <f t="shared" ca="1" si="10"/>
        <v/>
      </c>
      <c r="BG32" s="27" t="str">
        <f t="shared" ca="1" si="10"/>
        <v/>
      </c>
      <c r="BH32" s="27" t="str">
        <f t="shared" ca="1" si="10"/>
        <v/>
      </c>
      <c r="BI32" s="27" t="str">
        <f t="shared" ca="1" si="10"/>
        <v/>
      </c>
      <c r="BJ32" s="27" t="str">
        <f t="shared" ca="1" si="10"/>
        <v/>
      </c>
      <c r="BK32" s="27" t="str">
        <f t="shared" ca="1" si="10"/>
        <v/>
      </c>
      <c r="BL32" s="27" t="str">
        <f t="shared" ca="1" si="10"/>
        <v/>
      </c>
      <c r="BM32" s="28"/>
    </row>
    <row r="33" spans="1:65" s="1" customFormat="1" ht="40.15" customHeight="1" x14ac:dyDescent="0.25">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15" customHeight="1" x14ac:dyDescent="0.25">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15" customHeight="1" x14ac:dyDescent="0.25">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6"/>
    </row>
    <row r="36" spans="1:65" s="1" customFormat="1" ht="40.15" customHeight="1" x14ac:dyDescent="0.25">
      <c r="A36" s="10"/>
      <c r="B36" s="117" t="s">
        <v>20</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8" t="s">
        <v>5</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899999999999999" customHeight="1" x14ac:dyDescent="0.25">
      <c r="A3" s="10"/>
      <c r="B3" s="68"/>
      <c r="C3" s="69"/>
      <c r="D3" s="70"/>
      <c r="E3" s="70"/>
      <c r="F3" s="71"/>
      <c r="G3" s="70"/>
      <c r="H3" s="70"/>
      <c r="I3" s="84"/>
      <c r="J3" s="1"/>
      <c r="K3" s="1"/>
      <c r="L3" s="1"/>
    </row>
    <row r="4" spans="1:68" ht="30" customHeight="1" x14ac:dyDescent="0.25">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25">
      <c r="A5" s="10"/>
      <c r="B5" s="78" t="s">
        <v>21</v>
      </c>
      <c r="C5" s="74"/>
      <c r="D5" s="74"/>
      <c r="E5" s="75"/>
      <c r="F5" s="76"/>
      <c r="G5" s="75"/>
      <c r="H5" s="75"/>
    </row>
    <row r="6" spans="1:68" ht="30" customHeight="1" x14ac:dyDescent="0.35">
      <c r="A6" s="10"/>
      <c r="B6" s="79" t="s">
        <v>17</v>
      </c>
      <c r="C6" s="80" cm="1">
        <f t="array" aca="1" ref="C6" ca="1">IFERROR(IF(MIN(Milestones43524[Start])=0,TODAY(),B11(Milestones43524[Start])),TODAY())</f>
        <v>46112</v>
      </c>
      <c r="D6" s="81"/>
      <c r="E6" s="75"/>
      <c r="F6" s="76"/>
      <c r="G6" s="75"/>
      <c r="H6" s="75"/>
      <c r="I6" s="91" t="str">
        <f ca="1">TEXT(I7,"mmmm")</f>
        <v>April</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May</v>
      </c>
      <c r="AL6" s="91"/>
      <c r="AM6" s="91"/>
      <c r="AN6" s="91"/>
      <c r="AO6" s="91"/>
      <c r="AP6" s="91"/>
      <c r="AQ6" s="91"/>
      <c r="AR6" s="91" t="str">
        <f ca="1">IF(OR(TEXT(AR7,"mmmm")=AK6,TEXT(AR7,"mmmm")=AD6,TEXT(AR7,"mmmm")=W6,TEXT(AR7,"mmmm")=P6),"",TEXT(AR7,"mmmm"))</f>
        <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25">
      <c r="A7" s="10"/>
      <c r="B7" s="79" t="s">
        <v>12</v>
      </c>
      <c r="C7" s="82">
        <v>5</v>
      </c>
      <c r="D7" s="74"/>
      <c r="E7" s="75"/>
      <c r="F7" s="75"/>
      <c r="G7" s="75"/>
      <c r="H7" s="83"/>
      <c r="I7" s="98">
        <f ca="1">IFERROR(Project_Start+Scrolling_Increment,TODAY())</f>
        <v>46117</v>
      </c>
      <c r="J7" s="99">
        <f ca="1">I7+1</f>
        <v>46118</v>
      </c>
      <c r="K7" s="99">
        <f t="shared" ref="K7:AX7" ca="1" si="0">J7+1</f>
        <v>46119</v>
      </c>
      <c r="L7" s="99">
        <f t="shared" ca="1" si="0"/>
        <v>46120</v>
      </c>
      <c r="M7" s="99">
        <f t="shared" ca="1" si="0"/>
        <v>46121</v>
      </c>
      <c r="N7" s="99">
        <f t="shared" ca="1" si="0"/>
        <v>46122</v>
      </c>
      <c r="O7" s="100">
        <f t="shared" ca="1" si="0"/>
        <v>46123</v>
      </c>
      <c r="P7" s="99">
        <f ca="1">O7+1</f>
        <v>46124</v>
      </c>
      <c r="Q7" s="99">
        <f ca="1">P7+1</f>
        <v>46125</v>
      </c>
      <c r="R7" s="99">
        <f t="shared" ca="1" si="0"/>
        <v>46126</v>
      </c>
      <c r="S7" s="99">
        <f t="shared" ca="1" si="0"/>
        <v>46127</v>
      </c>
      <c r="T7" s="99">
        <f t="shared" ca="1" si="0"/>
        <v>46128</v>
      </c>
      <c r="U7" s="99">
        <f t="shared" ca="1" si="0"/>
        <v>46129</v>
      </c>
      <c r="V7" s="100">
        <f t="shared" ca="1" si="0"/>
        <v>46130</v>
      </c>
      <c r="W7" s="99">
        <f ca="1">V7+1</f>
        <v>46131</v>
      </c>
      <c r="X7" s="99">
        <f ca="1">W7+1</f>
        <v>46132</v>
      </c>
      <c r="Y7" s="99">
        <f t="shared" ca="1" si="0"/>
        <v>46133</v>
      </c>
      <c r="Z7" s="99">
        <f t="shared" ca="1" si="0"/>
        <v>46134</v>
      </c>
      <c r="AA7" s="99">
        <f t="shared" ca="1" si="0"/>
        <v>46135</v>
      </c>
      <c r="AB7" s="99">
        <f t="shared" ca="1" si="0"/>
        <v>46136</v>
      </c>
      <c r="AC7" s="100">
        <f t="shared" ca="1" si="0"/>
        <v>46137</v>
      </c>
      <c r="AD7" s="99">
        <f ca="1">AC7+1</f>
        <v>46138</v>
      </c>
      <c r="AE7" s="99">
        <f ca="1">AD7+1</f>
        <v>46139</v>
      </c>
      <c r="AF7" s="99">
        <f t="shared" ca="1" si="0"/>
        <v>46140</v>
      </c>
      <c r="AG7" s="99">
        <f t="shared" ca="1" si="0"/>
        <v>46141</v>
      </c>
      <c r="AH7" s="99">
        <f t="shared" ca="1" si="0"/>
        <v>46142</v>
      </c>
      <c r="AI7" s="99">
        <f t="shared" ca="1" si="0"/>
        <v>46143</v>
      </c>
      <c r="AJ7" s="100">
        <f t="shared" ca="1" si="0"/>
        <v>46144</v>
      </c>
      <c r="AK7" s="99">
        <f ca="1">AJ7+1</f>
        <v>46145</v>
      </c>
      <c r="AL7" s="99">
        <f ca="1">AK7+1</f>
        <v>46146</v>
      </c>
      <c r="AM7" s="99">
        <f t="shared" ca="1" si="0"/>
        <v>46147</v>
      </c>
      <c r="AN7" s="99">
        <f t="shared" ca="1" si="0"/>
        <v>46148</v>
      </c>
      <c r="AO7" s="99">
        <f t="shared" ca="1" si="0"/>
        <v>46149</v>
      </c>
      <c r="AP7" s="99">
        <f t="shared" ca="1" si="0"/>
        <v>46150</v>
      </c>
      <c r="AQ7" s="100">
        <f t="shared" ca="1" si="0"/>
        <v>46151</v>
      </c>
      <c r="AR7" s="99">
        <f ca="1">AQ7+1</f>
        <v>46152</v>
      </c>
      <c r="AS7" s="99">
        <f ca="1">AR7+1</f>
        <v>46153</v>
      </c>
      <c r="AT7" s="99">
        <f t="shared" ca="1" si="0"/>
        <v>46154</v>
      </c>
      <c r="AU7" s="99">
        <f t="shared" ca="1" si="0"/>
        <v>46155</v>
      </c>
      <c r="AV7" s="99">
        <f t="shared" ca="1" si="0"/>
        <v>46156</v>
      </c>
      <c r="AW7" s="99">
        <f t="shared" ca="1" si="0"/>
        <v>46157</v>
      </c>
      <c r="AX7" s="100">
        <f t="shared" ca="1" si="0"/>
        <v>46158</v>
      </c>
      <c r="AY7" s="99">
        <f ca="1">AX7+1</f>
        <v>46159</v>
      </c>
      <c r="AZ7" s="99">
        <f ca="1">AY7+1</f>
        <v>46160</v>
      </c>
      <c r="BA7" s="99">
        <f t="shared" ref="BA7:BE7" ca="1" si="1">AZ7+1</f>
        <v>46161</v>
      </c>
      <c r="BB7" s="99">
        <f t="shared" ca="1" si="1"/>
        <v>46162</v>
      </c>
      <c r="BC7" s="99">
        <f t="shared" ca="1" si="1"/>
        <v>46163</v>
      </c>
      <c r="BD7" s="99">
        <f t="shared" ca="1" si="1"/>
        <v>46164</v>
      </c>
      <c r="BE7" s="100">
        <f t="shared" ca="1" si="1"/>
        <v>46165</v>
      </c>
      <c r="BF7" s="99">
        <f ca="1">BE7+1</f>
        <v>46166</v>
      </c>
      <c r="BG7" s="99">
        <f ca="1">BF7+1</f>
        <v>46167</v>
      </c>
      <c r="BH7" s="99">
        <f t="shared" ref="BH7:BL7" ca="1" si="2">BG7+1</f>
        <v>46168</v>
      </c>
      <c r="BI7" s="99">
        <f t="shared" ca="1" si="2"/>
        <v>46169</v>
      </c>
      <c r="BJ7" s="99">
        <f t="shared" ca="1" si="2"/>
        <v>46170</v>
      </c>
      <c r="BK7" s="99">
        <f t="shared" ca="1" si="2"/>
        <v>46171</v>
      </c>
      <c r="BL7" s="100">
        <f t="shared" ca="1" si="2"/>
        <v>46172</v>
      </c>
    </row>
    <row r="8" spans="1:68" ht="19.899999999999999" customHeight="1" x14ac:dyDescent="0.25">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x14ac:dyDescent="0.25">
      <c r="A9" s="10"/>
      <c r="B9" s="122" t="s">
        <v>23</v>
      </c>
      <c r="C9" s="123" t="s">
        <v>7</v>
      </c>
      <c r="D9" s="123" t="s">
        <v>24</v>
      </c>
      <c r="E9" s="123" t="s">
        <v>10</v>
      </c>
      <c r="F9" s="123" t="s">
        <v>11</v>
      </c>
      <c r="G9" s="123" t="s">
        <v>25</v>
      </c>
      <c r="H9" s="88"/>
      <c r="I9" s="106" t="str">
        <f t="shared" ref="I9:BL9" ca="1" si="3">LEFT(TEXT(I7,"ddd"),1)</f>
        <v>S</v>
      </c>
      <c r="J9" s="106" t="str">
        <f t="shared" ca="1" si="3"/>
        <v>M</v>
      </c>
      <c r="K9" s="106" t="str">
        <f t="shared" ca="1" si="3"/>
        <v>T</v>
      </c>
      <c r="L9" s="106" t="str">
        <f t="shared" ca="1" si="3"/>
        <v>W</v>
      </c>
      <c r="M9" s="106" t="str">
        <f t="shared" ca="1" si="3"/>
        <v>T</v>
      </c>
      <c r="N9" s="106" t="str">
        <f t="shared" ca="1" si="3"/>
        <v>F</v>
      </c>
      <c r="O9" s="106" t="str">
        <f t="shared" ca="1" si="3"/>
        <v>S</v>
      </c>
      <c r="P9" s="106" t="str">
        <f t="shared" ca="1" si="3"/>
        <v>S</v>
      </c>
      <c r="Q9" s="106" t="str">
        <f t="shared" ca="1" si="3"/>
        <v>M</v>
      </c>
      <c r="R9" s="106" t="str">
        <f t="shared" ca="1" si="3"/>
        <v>T</v>
      </c>
      <c r="S9" s="106" t="str">
        <f t="shared" ca="1" si="3"/>
        <v>W</v>
      </c>
      <c r="T9" s="106" t="str">
        <f t="shared" ca="1" si="3"/>
        <v>T</v>
      </c>
      <c r="U9" s="106" t="str">
        <f t="shared" ca="1" si="3"/>
        <v>F</v>
      </c>
      <c r="V9" s="106" t="str">
        <f t="shared" ca="1" si="3"/>
        <v>S</v>
      </c>
      <c r="W9" s="106" t="str">
        <f t="shared" ca="1" si="3"/>
        <v>S</v>
      </c>
      <c r="X9" s="106" t="str">
        <f t="shared" ca="1" si="3"/>
        <v>M</v>
      </c>
      <c r="Y9" s="106" t="str">
        <f t="shared" ca="1" si="3"/>
        <v>T</v>
      </c>
      <c r="Z9" s="106" t="str">
        <f t="shared" ca="1" si="3"/>
        <v>W</v>
      </c>
      <c r="AA9" s="106" t="str">
        <f t="shared" ca="1" si="3"/>
        <v>T</v>
      </c>
      <c r="AB9" s="106" t="str">
        <f t="shared" ca="1" si="3"/>
        <v>F</v>
      </c>
      <c r="AC9" s="106" t="str">
        <f t="shared" ca="1" si="3"/>
        <v>S</v>
      </c>
      <c r="AD9" s="106" t="str">
        <f t="shared" ca="1" si="3"/>
        <v>S</v>
      </c>
      <c r="AE9" s="106" t="str">
        <f t="shared" ca="1" si="3"/>
        <v>M</v>
      </c>
      <c r="AF9" s="106" t="str">
        <f t="shared" ca="1" si="3"/>
        <v>T</v>
      </c>
      <c r="AG9" s="106" t="str">
        <f t="shared" ca="1" si="3"/>
        <v>W</v>
      </c>
      <c r="AH9" s="106" t="str">
        <f t="shared" ca="1" si="3"/>
        <v>T</v>
      </c>
      <c r="AI9" s="106" t="str">
        <f t="shared" ca="1" si="3"/>
        <v>F</v>
      </c>
      <c r="AJ9" s="106" t="str">
        <f t="shared" ca="1" si="3"/>
        <v>S</v>
      </c>
      <c r="AK9" s="106" t="str">
        <f t="shared" ca="1" si="3"/>
        <v>S</v>
      </c>
      <c r="AL9" s="106" t="str">
        <f t="shared" ca="1" si="3"/>
        <v>M</v>
      </c>
      <c r="AM9" s="106" t="str">
        <f t="shared" ca="1" si="3"/>
        <v>T</v>
      </c>
      <c r="AN9" s="106" t="str">
        <f t="shared" ca="1" si="3"/>
        <v>W</v>
      </c>
      <c r="AO9" s="106" t="str">
        <f t="shared" ca="1" si="3"/>
        <v>T</v>
      </c>
      <c r="AP9" s="106" t="str">
        <f t="shared" ca="1" si="3"/>
        <v>F</v>
      </c>
      <c r="AQ9" s="106" t="str">
        <f t="shared" ca="1" si="3"/>
        <v>S</v>
      </c>
      <c r="AR9" s="106" t="str">
        <f t="shared" ca="1" si="3"/>
        <v>S</v>
      </c>
      <c r="AS9" s="106" t="str">
        <f t="shared" ca="1" si="3"/>
        <v>M</v>
      </c>
      <c r="AT9" s="106" t="str">
        <f t="shared" ca="1" si="3"/>
        <v>T</v>
      </c>
      <c r="AU9" s="106" t="str">
        <f t="shared" ca="1" si="3"/>
        <v>W</v>
      </c>
      <c r="AV9" s="106" t="str">
        <f t="shared" ca="1" si="3"/>
        <v>T</v>
      </c>
      <c r="AW9" s="106" t="str">
        <f t="shared" ca="1" si="3"/>
        <v>F</v>
      </c>
      <c r="AX9" s="106" t="str">
        <f t="shared" ca="1" si="3"/>
        <v>S</v>
      </c>
      <c r="AY9" s="106" t="str">
        <f t="shared" ca="1" si="3"/>
        <v>S</v>
      </c>
      <c r="AZ9" s="106" t="str">
        <f t="shared" ca="1" si="3"/>
        <v>M</v>
      </c>
      <c r="BA9" s="106" t="str">
        <f t="shared" ca="1" si="3"/>
        <v>T</v>
      </c>
      <c r="BB9" s="106" t="str">
        <f t="shared" ca="1" si="3"/>
        <v>W</v>
      </c>
      <c r="BC9" s="106" t="str">
        <f t="shared" ca="1" si="3"/>
        <v>T</v>
      </c>
      <c r="BD9" s="106" t="str">
        <f t="shared" ca="1" si="3"/>
        <v>F</v>
      </c>
      <c r="BE9" s="106" t="str">
        <f t="shared" ca="1" si="3"/>
        <v>S</v>
      </c>
      <c r="BF9" s="106" t="str">
        <f t="shared" ca="1" si="3"/>
        <v>S</v>
      </c>
      <c r="BG9" s="106" t="str">
        <f t="shared" ca="1" si="3"/>
        <v>M</v>
      </c>
      <c r="BH9" s="106" t="str">
        <f t="shared" ca="1" si="3"/>
        <v>T</v>
      </c>
      <c r="BI9" s="106" t="str">
        <f t="shared" ca="1" si="3"/>
        <v>W</v>
      </c>
      <c r="BJ9" s="106" t="str">
        <f t="shared" ca="1" si="3"/>
        <v>T</v>
      </c>
      <c r="BK9" s="106" t="str">
        <f t="shared" ca="1" si="3"/>
        <v>F</v>
      </c>
      <c r="BL9" s="106" t="str">
        <f t="shared" ca="1" si="3"/>
        <v>S</v>
      </c>
    </row>
    <row r="10" spans="1:68" ht="30" hidden="1" customHeight="1" thickBot="1" x14ac:dyDescent="0.3">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25">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25">
      <c r="A12" s="10"/>
      <c r="B12" s="63" t="s">
        <v>3</v>
      </c>
      <c r="C12" s="59" t="s">
        <v>8</v>
      </c>
      <c r="D12" s="59" t="s">
        <v>6</v>
      </c>
      <c r="E12" s="60">
        <v>0.25</v>
      </c>
      <c r="F12" s="61">
        <f ca="1">TODAY()</f>
        <v>46112</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25">
      <c r="A13" s="10"/>
      <c r="B13" s="63" t="s">
        <v>4</v>
      </c>
      <c r="C13" s="59" t="s">
        <v>9</v>
      </c>
      <c r="D13" s="59"/>
      <c r="E13" s="60"/>
      <c r="F13" s="61">
        <f ca="1">TODAY()+5</f>
        <v>46117</v>
      </c>
      <c r="G13" s="62">
        <v>1</v>
      </c>
      <c r="H13" s="59"/>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25">
      <c r="A14" s="9"/>
      <c r="B14" s="63" t="s">
        <v>0</v>
      </c>
      <c r="C14" s="59" t="s">
        <v>14</v>
      </c>
      <c r="D14" s="59"/>
      <c r="E14" s="60">
        <v>0.5</v>
      </c>
      <c r="F14" s="61">
        <f ca="1">F12-3</f>
        <v>46109</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25">
      <c r="A15" s="9"/>
      <c r="B15" s="63" t="s">
        <v>1</v>
      </c>
      <c r="C15" s="59" t="s">
        <v>9</v>
      </c>
      <c r="D15" s="59"/>
      <c r="E15" s="60"/>
      <c r="F15" s="61">
        <f ca="1">F12+20</f>
        <v>46132</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25">
      <c r="A16" s="9"/>
      <c r="B16" s="63" t="s">
        <v>2</v>
      </c>
      <c r="C16" s="59" t="s">
        <v>13</v>
      </c>
      <c r="D16" s="59"/>
      <c r="E16" s="60">
        <v>0.1</v>
      </c>
      <c r="F16" s="61">
        <f ca="1">F12+6</f>
        <v>46118</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25">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25">
      <c r="A18" s="10"/>
      <c r="B18" s="63" t="s">
        <v>3</v>
      </c>
      <c r="C18" s="59" t="s">
        <v>15</v>
      </c>
      <c r="D18" s="59"/>
      <c r="E18" s="60">
        <v>0.6</v>
      </c>
      <c r="F18" s="61">
        <f ca="1">F12+6</f>
        <v>46118</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25">
      <c r="A19" s="9"/>
      <c r="B19" s="63" t="s">
        <v>4</v>
      </c>
      <c r="C19" s="59" t="s">
        <v>16</v>
      </c>
      <c r="D19" s="59"/>
      <c r="E19" s="60">
        <v>0.5</v>
      </c>
      <c r="F19" s="61">
        <f ca="1">F18+2</f>
        <v>46120</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25">
      <c r="A20" s="9"/>
      <c r="B20" s="63" t="s">
        <v>0</v>
      </c>
      <c r="C20" s="59" t="s">
        <v>14</v>
      </c>
      <c r="D20" s="59"/>
      <c r="E20" s="60">
        <v>0.33</v>
      </c>
      <c r="F20" s="61">
        <f ca="1">F19+5</f>
        <v>46125</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25">
      <c r="A21" s="9"/>
      <c r="B21" s="63" t="s">
        <v>1</v>
      </c>
      <c r="C21" s="59" t="s">
        <v>9</v>
      </c>
      <c r="D21" s="59"/>
      <c r="E21" s="60"/>
      <c r="F21" s="61">
        <f ca="1">F20+2</f>
        <v>46127</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25">
      <c r="A22" s="9"/>
      <c r="B22" s="63" t="s">
        <v>2</v>
      </c>
      <c r="C22" s="59"/>
      <c r="D22" s="59"/>
      <c r="E22" s="60"/>
      <c r="F22" s="61">
        <f ca="1">F21+1</f>
        <v>46128</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25">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25">
      <c r="A24" s="9"/>
      <c r="B24" s="63" t="s">
        <v>3</v>
      </c>
      <c r="C24" s="59" t="s">
        <v>16</v>
      </c>
      <c r="D24" s="59"/>
      <c r="E24" s="60"/>
      <c r="F24" s="61">
        <f ca="1">F12+15</f>
        <v>46127</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25">
      <c r="A25" s="9"/>
      <c r="B25" s="63" t="s">
        <v>4</v>
      </c>
      <c r="C25" s="59" t="s">
        <v>13</v>
      </c>
      <c r="D25" s="59"/>
      <c r="E25" s="60"/>
      <c r="F25" s="61">
        <f ca="1">F24+3</f>
        <v>46130</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25">
      <c r="A26" s="9"/>
      <c r="B26" s="63" t="s">
        <v>0</v>
      </c>
      <c r="C26" s="59" t="s">
        <v>16</v>
      </c>
      <c r="D26" s="59"/>
      <c r="E26" s="60"/>
      <c r="F26" s="61">
        <f ca="1">F25+15</f>
        <v>46145</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25">
      <c r="A27" s="9"/>
      <c r="B27" s="63" t="s">
        <v>1</v>
      </c>
      <c r="C27" s="59" t="s">
        <v>8</v>
      </c>
      <c r="D27" s="59"/>
      <c r="E27" s="60"/>
      <c r="F27" s="61">
        <f ca="1">F21+22</f>
        <v>46149</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25">
      <c r="A28" s="9"/>
      <c r="B28" s="63" t="s">
        <v>2</v>
      </c>
      <c r="C28" s="59" t="s">
        <v>14</v>
      </c>
      <c r="D28" s="59"/>
      <c r="E28" s="60"/>
      <c r="F28" s="61">
        <f ca="1">F16</f>
        <v>46118</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25">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25">
      <c r="A30" s="9"/>
      <c r="B30" s="63" t="s">
        <v>3</v>
      </c>
      <c r="C30" s="59"/>
      <c r="D30" s="59"/>
      <c r="E30" s="60"/>
      <c r="F30" s="61">
        <f ca="1">F27+3</f>
        <v>46152</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25">
      <c r="A31" s="9"/>
      <c r="B31" s="63" t="s">
        <v>4</v>
      </c>
      <c r="C31" s="59"/>
      <c r="D31" s="59"/>
      <c r="E31" s="60"/>
      <c r="F31" s="61">
        <f ca="1">F30+14</f>
        <v>46166</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25">
      <c r="A32" s="9"/>
      <c r="B32" s="63" t="s">
        <v>0</v>
      </c>
      <c r="C32" s="59" t="s">
        <v>9</v>
      </c>
      <c r="D32" s="59"/>
      <c r="E32" s="60"/>
      <c r="F32" s="61">
        <f ca="1">F31+42</f>
        <v>46208</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25">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25">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25">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15" customHeight="1" x14ac:dyDescent="0.25">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2026-03-31T00:58:19Z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