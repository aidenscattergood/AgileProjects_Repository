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302" documentId="8_{5FCFFA2A-1C94-4F30-8EBC-885A9A0A3AE6}" xr6:coauthVersionLast="47" xr6:coauthVersionMax="47" xr10:uidLastSave="{0A45DC9C-3103-4F60-BE5E-375B3EAA0481}"/>
  <bookViews>
    <workbookView xWindow="-120" yWindow="-120" windowWidth="29040" windowHeight="15720" tabRatio="415" activeTab="3" xr2:uid="{00000000-000D-0000-FFFF-FFFF00000000}"/>
  </bookViews>
  <sheets>
    <sheet name="About" sheetId="12" r:id="rId1"/>
    <sheet name="Light" sheetId="17" r:id="rId2"/>
    <sheet name="Dark" sheetId="16" r:id="rId3"/>
    <sheet name="Color" sheetId="18" r:id="rId4"/>
  </sheets>
  <definedNames>
    <definedName name="_xlnm.Print_Titles" localSheetId="3">Color!$6:$9</definedName>
    <definedName name="_xlnm.Print_Titles" localSheetId="2">Dark!$6:$9</definedName>
    <definedName name="_xlnm.Print_Titles" localSheetId="1">Light!$6:$9</definedName>
    <definedName name="Project_Start" localSheetId="3">Color!$C$6</definedName>
    <definedName name="Project_Start" localSheetId="2">Dark!$C$6</definedName>
    <definedName name="Project_Start" localSheetId="1">Light!$C$6</definedName>
    <definedName name="Project_Start">#REF!</definedName>
    <definedName name="Scrolling_Increment" localSheetId="3">Color!$C$7</definedName>
    <definedName name="Scrolling_Increment" localSheetId="2">Dark!$C$7</definedName>
    <definedName name="Scrolling_Increment" localSheetId="1">Light!$C$7</definedName>
    <definedName name="Scrolling_Increment">#REF!</definedName>
    <definedName name="Today" localSheetId="3">TODAY()</definedName>
    <definedName name="Today" localSheetId="2">TODAY()</definedName>
    <definedName name="Today" localSheetId="1">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 i="18" l="1"/>
  <c r="F13" i="17"/>
  <c r="F12" i="17"/>
  <c r="F18" i="17" s="1"/>
  <c r="F19" i="17" s="1"/>
  <c r="F20" i="17" s="1"/>
  <c r="F21" i="17" s="1"/>
  <c r="F24" i="18" l="1"/>
  <c r="F25" i="18" s="1"/>
  <c r="F26" i="18" s="1"/>
  <c r="F18" i="18"/>
  <c r="F19" i="18" s="1"/>
  <c r="F20" i="18" s="1"/>
  <c r="F21" i="18" s="1"/>
  <c r="F22" i="18" s="1"/>
  <c r="F28" i="18"/>
  <c r="F27" i="17"/>
  <c r="F30" i="17" s="1"/>
  <c r="F31" i="17" s="1"/>
  <c r="F32" i="17" s="1"/>
  <c r="F22" i="17"/>
  <c r="F14" i="17"/>
  <c r="F15" i="17"/>
  <c r="F16" i="17"/>
  <c r="F28" i="17" s="1"/>
  <c r="F24" i="17"/>
  <c r="F25" i="17" s="1"/>
  <c r="F26" i="17" s="1"/>
  <c r="F27" i="18" l="1"/>
  <c r="C6" i="17" a="1"/>
  <c r="C6" i="17" s="1"/>
  <c r="I7" i="17" s="1"/>
  <c r="I35" i="17" s="1"/>
  <c r="F30" i="18" l="1"/>
  <c r="F31" i="18" s="1"/>
  <c r="F32" i="18" s="1"/>
  <c r="I7" i="18"/>
  <c r="I26" i="18" s="1"/>
  <c r="J7" i="17"/>
  <c r="J35" i="17" s="1"/>
  <c r="I9" i="17"/>
  <c r="I23" i="17"/>
  <c r="I27" i="17"/>
  <c r="I13" i="17"/>
  <c r="I11" i="17"/>
  <c r="I24" i="17"/>
  <c r="I29" i="17"/>
  <c r="I21" i="17"/>
  <c r="I22" i="17"/>
  <c r="I25" i="17"/>
  <c r="I16" i="17"/>
  <c r="I26" i="17"/>
  <c r="I32" i="17"/>
  <c r="I31" i="17"/>
  <c r="I12" i="17"/>
  <c r="I17" i="17"/>
  <c r="I15" i="17"/>
  <c r="I19" i="17"/>
  <c r="I30" i="17"/>
  <c r="I33" i="17"/>
  <c r="I14" i="17"/>
  <c r="I6" i="17"/>
  <c r="I18" i="17"/>
  <c r="I34" i="17"/>
  <c r="I20" i="17"/>
  <c r="I28" i="17"/>
  <c r="J15" i="17" l="1"/>
  <c r="J28" i="17"/>
  <c r="J14" i="17"/>
  <c r="J32" i="17"/>
  <c r="J16" i="17"/>
  <c r="J26" i="17"/>
  <c r="J24" i="17"/>
  <c r="J20" i="17"/>
  <c r="J18" i="17"/>
  <c r="J33" i="17"/>
  <c r="K7" i="17"/>
  <c r="K33" i="17" s="1"/>
  <c r="J17" i="17"/>
  <c r="J23" i="17"/>
  <c r="J29" i="17"/>
  <c r="J34" i="17"/>
  <c r="J9" i="17"/>
  <c r="J12" i="17"/>
  <c r="J21" i="17"/>
  <c r="J19" i="17"/>
  <c r="J30" i="17"/>
  <c r="J11" i="17"/>
  <c r="J13" i="17"/>
  <c r="J25" i="17"/>
  <c r="J22" i="17"/>
  <c r="J27" i="17"/>
  <c r="J31" i="17"/>
  <c r="I6" i="18"/>
  <c r="I21" i="18"/>
  <c r="I24" i="18"/>
  <c r="I14" i="18"/>
  <c r="I9" i="18"/>
  <c r="I19" i="18"/>
  <c r="I27" i="18"/>
  <c r="I29" i="18"/>
  <c r="I11" i="18"/>
  <c r="I34" i="18"/>
  <c r="I31" i="18"/>
  <c r="J7" i="18"/>
  <c r="J33" i="18" s="1"/>
  <c r="I13" i="18"/>
  <c r="I20" i="18"/>
  <c r="I18" i="18"/>
  <c r="I23" i="18"/>
  <c r="I33" i="18"/>
  <c r="I12" i="18"/>
  <c r="I15" i="18"/>
  <c r="I16" i="18"/>
  <c r="I32" i="18"/>
  <c r="I28" i="18"/>
  <c r="I35" i="18"/>
  <c r="I17" i="18"/>
  <c r="I30" i="18"/>
  <c r="I22" i="18"/>
  <c r="I25" i="18"/>
  <c r="K35" i="17" l="1"/>
  <c r="J35" i="18"/>
  <c r="K24" i="17"/>
  <c r="K18" i="17"/>
  <c r="K28" i="17"/>
  <c r="K9" i="17"/>
  <c r="K13" i="17"/>
  <c r="K31" i="17"/>
  <c r="K12" i="17"/>
  <c r="K22" i="17"/>
  <c r="K11" i="17"/>
  <c r="K21" i="17"/>
  <c r="K34" i="17"/>
  <c r="K20" i="17"/>
  <c r="K17" i="17"/>
  <c r="K30" i="17"/>
  <c r="K19" i="17"/>
  <c r="K25" i="17"/>
  <c r="K26" i="17"/>
  <c r="K23" i="17"/>
  <c r="K32" i="17"/>
  <c r="K14" i="17"/>
  <c r="K15" i="17"/>
  <c r="L7" i="17"/>
  <c r="K16" i="17"/>
  <c r="K29" i="17"/>
  <c r="K27" i="17"/>
  <c r="J14" i="18"/>
  <c r="J15" i="18"/>
  <c r="J18" i="18"/>
  <c r="J25" i="18"/>
  <c r="J11" i="18"/>
  <c r="K7" i="18"/>
  <c r="K33" i="18" s="1"/>
  <c r="J20" i="18"/>
  <c r="J30" i="18"/>
  <c r="J31" i="18"/>
  <c r="J16" i="18"/>
  <c r="J12" i="18"/>
  <c r="J21" i="18"/>
  <c r="J24" i="18"/>
  <c r="J32" i="18"/>
  <c r="J19" i="18"/>
  <c r="J13" i="18"/>
  <c r="J26" i="18"/>
  <c r="J28" i="18"/>
  <c r="J34" i="18"/>
  <c r="J9" i="18"/>
  <c r="J23" i="18"/>
  <c r="J22" i="18"/>
  <c r="J17" i="18"/>
  <c r="J27" i="18"/>
  <c r="J29" i="18"/>
  <c r="L35" i="17" l="1"/>
  <c r="L14" i="17"/>
  <c r="K35" i="18"/>
  <c r="K26" i="18"/>
  <c r="K11" i="18"/>
  <c r="K12" i="18"/>
  <c r="K30" i="18"/>
  <c r="L22" i="17"/>
  <c r="L20" i="17"/>
  <c r="L26" i="17"/>
  <c r="L15" i="17"/>
  <c r="L16" i="17"/>
  <c r="L32" i="17"/>
  <c r="L13" i="17"/>
  <c r="M7" i="17"/>
  <c r="M31" i="17" s="1"/>
  <c r="L17" i="17"/>
  <c r="L33" i="17"/>
  <c r="L19" i="17"/>
  <c r="L24" i="17"/>
  <c r="L29" i="17"/>
  <c r="L18" i="17"/>
  <c r="L9" i="17"/>
  <c r="L12" i="17"/>
  <c r="L25" i="17"/>
  <c r="L21" i="17"/>
  <c r="L30" i="17"/>
  <c r="L34" i="17"/>
  <c r="L11" i="17"/>
  <c r="L23" i="17"/>
  <c r="L27" i="17"/>
  <c r="L28" i="17"/>
  <c r="L31" i="17"/>
  <c r="K21" i="18"/>
  <c r="K20" i="18"/>
  <c r="K31" i="18"/>
  <c r="K18" i="18"/>
  <c r="K24" i="18"/>
  <c r="K9" i="18"/>
  <c r="K25" i="18"/>
  <c r="K27" i="18"/>
  <c r="K34" i="18"/>
  <c r="K13" i="18"/>
  <c r="K14" i="18"/>
  <c r="K16" i="18"/>
  <c r="K22" i="18"/>
  <c r="K28" i="18"/>
  <c r="K32" i="18"/>
  <c r="K15" i="18"/>
  <c r="L7" i="18"/>
  <c r="L35" i="18" s="1"/>
  <c r="K19" i="18"/>
  <c r="K17" i="18"/>
  <c r="K23" i="18"/>
  <c r="K29" i="18"/>
  <c r="M35" i="17" l="1"/>
  <c r="M12" i="17"/>
  <c r="M21" i="17"/>
  <c r="M27" i="17"/>
  <c r="M18" i="17"/>
  <c r="M19" i="17"/>
  <c r="M34" i="17"/>
  <c r="M14" i="17"/>
  <c r="M24" i="17"/>
  <c r="M28" i="17"/>
  <c r="M17" i="17"/>
  <c r="M15" i="17"/>
  <c r="M26" i="17"/>
  <c r="M33" i="17"/>
  <c r="M16" i="17"/>
  <c r="M20" i="17"/>
  <c r="M29" i="17"/>
  <c r="M9" i="17"/>
  <c r="M22" i="17"/>
  <c r="M30" i="17"/>
  <c r="N7" i="17"/>
  <c r="N35" i="17" s="1"/>
  <c r="M13" i="17"/>
  <c r="M11" i="17"/>
  <c r="M23" i="17"/>
  <c r="M25" i="17"/>
  <c r="M32" i="17"/>
  <c r="L29" i="18"/>
  <c r="L20" i="18"/>
  <c r="L17" i="18"/>
  <c r="L23" i="18"/>
  <c r="L9" i="18"/>
  <c r="L32" i="18"/>
  <c r="M7" i="18"/>
  <c r="M31" i="18" s="1"/>
  <c r="L16" i="18"/>
  <c r="L11" i="18"/>
  <c r="L19" i="18"/>
  <c r="L28" i="18"/>
  <c r="L27" i="18"/>
  <c r="L33" i="18"/>
  <c r="L13" i="18"/>
  <c r="L21" i="18"/>
  <c r="L18" i="18"/>
  <c r="L25" i="18"/>
  <c r="L26" i="18"/>
  <c r="L30" i="18"/>
  <c r="L34" i="18"/>
  <c r="L14" i="18"/>
  <c r="L12" i="18"/>
  <c r="L24" i="18"/>
  <c r="L15" i="18"/>
  <c r="L22" i="18"/>
  <c r="L31" i="18"/>
  <c r="M35" i="18" l="1"/>
  <c r="N11" i="17"/>
  <c r="N17" i="17"/>
  <c r="N21" i="17"/>
  <c r="N29" i="17"/>
  <c r="N15" i="17"/>
  <c r="N23" i="17"/>
  <c r="N32" i="17"/>
  <c r="N25" i="17"/>
  <c r="O7" i="17"/>
  <c r="O33" i="17" s="1"/>
  <c r="N26" i="17"/>
  <c r="N19" i="17"/>
  <c r="N33" i="17"/>
  <c r="N12" i="17"/>
  <c r="N14" i="17"/>
  <c r="N28" i="17"/>
  <c r="M33" i="18"/>
  <c r="N9" i="17"/>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N35" i="18" s="1"/>
  <c r="M9" i="18"/>
  <c r="M17" i="18"/>
  <c r="M27" i="18"/>
  <c r="M19" i="18"/>
  <c r="M34" i="18"/>
  <c r="O12" i="17" l="1"/>
  <c r="O30" i="17"/>
  <c r="O34" i="17"/>
  <c r="O20" i="17"/>
  <c r="O16" i="17"/>
  <c r="O9" i="17"/>
  <c r="O22" i="17"/>
  <c r="O11" i="17"/>
  <c r="O19" i="17"/>
  <c r="O25" i="17"/>
  <c r="O17" i="17"/>
  <c r="O23" i="17"/>
  <c r="O31" i="17"/>
  <c r="O35" i="17"/>
  <c r="O15" i="17"/>
  <c r="O24" i="17"/>
  <c r="O26" i="17"/>
  <c r="O21" i="17"/>
  <c r="O29" i="17"/>
  <c r="O32" i="17"/>
  <c r="O14" i="17"/>
  <c r="P7" i="17"/>
  <c r="P33" i="17" s="1"/>
  <c r="O13" i="17"/>
  <c r="O28" i="17"/>
  <c r="O18" i="17"/>
  <c r="O27" i="17"/>
  <c r="N21" i="18"/>
  <c r="N22" i="18"/>
  <c r="N12" i="18"/>
  <c r="N29" i="18"/>
  <c r="N14" i="18"/>
  <c r="N25" i="18"/>
  <c r="N16" i="18"/>
  <c r="N26" i="18"/>
  <c r="N32" i="18"/>
  <c r="N9" i="18"/>
  <c r="N15" i="18"/>
  <c r="N27" i="18"/>
  <c r="N33" i="18"/>
  <c r="N11" i="18"/>
  <c r="N19" i="18"/>
  <c r="N20" i="18"/>
  <c r="N23" i="18"/>
  <c r="N24" i="18"/>
  <c r="N30" i="18"/>
  <c r="N34" i="18"/>
  <c r="O7" i="18"/>
  <c r="O32" i="18" s="1"/>
  <c r="N13" i="18"/>
  <c r="N17" i="18"/>
  <c r="N18" i="18"/>
  <c r="N28" i="18"/>
  <c r="N31" i="18"/>
  <c r="P15" i="17" l="1"/>
  <c r="P30" i="17"/>
  <c r="P12" i="17"/>
  <c r="P34" i="17"/>
  <c r="P25" i="17"/>
  <c r="P23" i="17"/>
  <c r="P27" i="17"/>
  <c r="P14" i="17"/>
  <c r="P18" i="17"/>
  <c r="P19" i="17"/>
  <c r="P16" i="17"/>
  <c r="P28" i="17"/>
  <c r="P31" i="17"/>
  <c r="P35" i="17"/>
  <c r="P22" i="17"/>
  <c r="P6" i="17"/>
  <c r="P9" i="17"/>
  <c r="P24" i="17"/>
  <c r="P17" i="17"/>
  <c r="P29" i="17"/>
  <c r="P32" i="17"/>
  <c r="P13" i="17"/>
  <c r="P11" i="17"/>
  <c r="Q7" i="17"/>
  <c r="Q32" i="17" s="1"/>
  <c r="P20" i="17"/>
  <c r="P21" i="17"/>
  <c r="P26" i="17"/>
  <c r="O13" i="18"/>
  <c r="O23" i="18"/>
  <c r="P7" i="18"/>
  <c r="P33" i="18" s="1"/>
  <c r="O29" i="18"/>
  <c r="O19" i="18"/>
  <c r="O33" i="18"/>
  <c r="O21" i="18"/>
  <c r="O9" i="18"/>
  <c r="O20" i="18"/>
  <c r="O25" i="18"/>
  <c r="O27" i="18"/>
  <c r="O30" i="18"/>
  <c r="O34" i="18"/>
  <c r="O11" i="18"/>
  <c r="O15" i="18"/>
  <c r="O16" i="18"/>
  <c r="O26" i="18"/>
  <c r="O24" i="18"/>
  <c r="O31" i="18"/>
  <c r="O35" i="18"/>
  <c r="O12" i="18"/>
  <c r="O18" i="18"/>
  <c r="O14" i="18"/>
  <c r="O17" i="18"/>
  <c r="O22" i="18"/>
  <c r="O28" i="18"/>
  <c r="P35" i="18" l="1"/>
  <c r="Q34" i="17"/>
  <c r="P34" i="18"/>
  <c r="Q18" i="17"/>
  <c r="Q19" i="17"/>
  <c r="Q13" i="17"/>
  <c r="Q20" i="17"/>
  <c r="Q17" i="17"/>
  <c r="Q28" i="17"/>
  <c r="Q21" i="17"/>
  <c r="Q9" i="17"/>
  <c r="Q22" i="17"/>
  <c r="Q24" i="17"/>
  <c r="Q25" i="17"/>
  <c r="Q29" i="17"/>
  <c r="Q14" i="17"/>
  <c r="Q11" i="17"/>
  <c r="Q23" i="17"/>
  <c r="Q26" i="17"/>
  <c r="Q31" i="17"/>
  <c r="Q30" i="17"/>
  <c r="Q12" i="17"/>
  <c r="R7" i="17"/>
  <c r="R33" i="17" s="1"/>
  <c r="Q16" i="17"/>
  <c r="Q15" i="17"/>
  <c r="Q35" i="17"/>
  <c r="Q33" i="17"/>
  <c r="Q27" i="17"/>
  <c r="P14" i="18"/>
  <c r="P21" i="18"/>
  <c r="P13" i="18"/>
  <c r="P26" i="18"/>
  <c r="Q7" i="18"/>
  <c r="Q34" i="18" s="1"/>
  <c r="P22" i="18"/>
  <c r="P16" i="18"/>
  <c r="P29" i="18"/>
  <c r="P30" i="18"/>
  <c r="P25" i="18"/>
  <c r="P15" i="18"/>
  <c r="P31" i="18"/>
  <c r="P28" i="18"/>
  <c r="P12" i="18"/>
  <c r="P9" i="18"/>
  <c r="P18" i="18"/>
  <c r="P20" i="18"/>
  <c r="P23" i="18"/>
  <c r="P32" i="18"/>
  <c r="P6" i="18"/>
  <c r="P17" i="18"/>
  <c r="P11" i="18"/>
  <c r="P19" i="18"/>
  <c r="P24" i="18"/>
  <c r="P27" i="18"/>
  <c r="R21" i="17" l="1"/>
  <c r="R19" i="17"/>
  <c r="S7" i="17"/>
  <c r="S32" i="17" s="1"/>
  <c r="R28" i="17"/>
  <c r="R13" i="17"/>
  <c r="R34" i="17"/>
  <c r="R11" i="17"/>
  <c r="R12" i="17"/>
  <c r="R14" i="17"/>
  <c r="R18" i="17"/>
  <c r="R24" i="17"/>
  <c r="R30" i="17"/>
  <c r="R35" i="17"/>
  <c r="R9"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R34" i="18" s="1"/>
  <c r="Q9" i="18"/>
  <c r="Q16" i="18"/>
  <c r="Q18" i="18"/>
  <c r="Q19" i="18"/>
  <c r="Q31" i="18"/>
  <c r="Q32" i="18"/>
  <c r="Q12" i="18"/>
  <c r="Q11" i="18"/>
  <c r="Q17" i="18"/>
  <c r="Q27" i="18"/>
  <c r="Q22" i="18"/>
  <c r="Q28" i="18"/>
  <c r="S20" i="17"/>
  <c r="S16" i="17" l="1"/>
  <c r="S30" i="17"/>
  <c r="S25" i="17"/>
  <c r="S15" i="17"/>
  <c r="S27" i="17"/>
  <c r="T7" i="17"/>
  <c r="T32" i="17" s="1"/>
  <c r="S14" i="17"/>
  <c r="S28" i="17"/>
  <c r="S33" i="17"/>
  <c r="S19" i="17"/>
  <c r="S12" i="17"/>
  <c r="S18" i="17"/>
  <c r="S34" i="17"/>
  <c r="S9"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R9" i="18"/>
  <c r="S7" i="18"/>
  <c r="S35" i="18" s="1"/>
  <c r="R19" i="18"/>
  <c r="R17" i="18"/>
  <c r="R30" i="18"/>
  <c r="R25" i="18"/>
  <c r="T33" i="17"/>
  <c r="T17" i="17"/>
  <c r="T15" i="17"/>
  <c r="T18" i="17"/>
  <c r="T23" i="17" l="1"/>
  <c r="T26" i="17"/>
  <c r="T24" i="17"/>
  <c r="T27" i="17"/>
  <c r="T20" i="17"/>
  <c r="T21" i="17"/>
  <c r="T30" i="17"/>
  <c r="T34" i="17"/>
  <c r="T13" i="17"/>
  <c r="U7" i="17"/>
  <c r="U30" i="17" s="1"/>
  <c r="T14" i="17"/>
  <c r="T9" i="17"/>
  <c r="T12" i="17"/>
  <c r="T25" i="17"/>
  <c r="T28" i="17"/>
  <c r="T31" i="17"/>
  <c r="T35" i="17"/>
  <c r="T19" i="17"/>
  <c r="T11" i="17"/>
  <c r="T22" i="17"/>
  <c r="T16" i="17"/>
  <c r="T29" i="17"/>
  <c r="T7" i="18"/>
  <c r="T32" i="18" s="1"/>
  <c r="S21" i="18"/>
  <c r="S12" i="18"/>
  <c r="S26" i="18"/>
  <c r="S18" i="18"/>
  <c r="S25" i="18"/>
  <c r="S24" i="18"/>
  <c r="S9" i="18"/>
  <c r="S20" i="18"/>
  <c r="S31" i="18"/>
  <c r="S30" i="18"/>
  <c r="S27" i="18"/>
  <c r="S34" i="18"/>
  <c r="S11" i="18"/>
  <c r="S14" i="18"/>
  <c r="S16" i="18"/>
  <c r="S22" i="18"/>
  <c r="S28" i="18"/>
  <c r="S32" i="18"/>
  <c r="S15" i="18"/>
  <c r="S13" i="18"/>
  <c r="S19" i="18"/>
  <c r="S17" i="18"/>
  <c r="S23" i="18"/>
  <c r="S29" i="18"/>
  <c r="S33" i="18"/>
  <c r="U11" i="17" l="1"/>
  <c r="U17" i="17"/>
  <c r="U19" i="17"/>
  <c r="U15" i="17"/>
  <c r="U31" i="17"/>
  <c r="U35" i="17"/>
  <c r="U32" i="17"/>
  <c r="U18" i="17"/>
  <c r="U24" i="17"/>
  <c r="U34" i="17"/>
  <c r="V7" i="17"/>
  <c r="V33" i="17" s="1"/>
  <c r="U21" i="17"/>
  <c r="U22" i="17"/>
  <c r="U25" i="17"/>
  <c r="U28" i="17"/>
  <c r="U16" i="17"/>
  <c r="U14" i="17"/>
  <c r="U26" i="17"/>
  <c r="U27" i="17"/>
  <c r="U29" i="17"/>
  <c r="U12" i="17"/>
  <c r="U13" i="17"/>
  <c r="U9" i="17"/>
  <c r="U23" i="17"/>
  <c r="U20" i="17"/>
  <c r="U33" i="17"/>
  <c r="T18" i="18"/>
  <c r="T35" i="18"/>
  <c r="T26" i="18"/>
  <c r="T14" i="18"/>
  <c r="T21" i="18"/>
  <c r="T30" i="18"/>
  <c r="T25" i="18"/>
  <c r="T11" i="18"/>
  <c r="T20" i="18"/>
  <c r="T33" i="18"/>
  <c r="U7" i="18"/>
  <c r="U32" i="18" s="1"/>
  <c r="T28" i="18"/>
  <c r="T23" i="18"/>
  <c r="T13" i="18"/>
  <c r="T12" i="18"/>
  <c r="T17" i="18"/>
  <c r="T19" i="18"/>
  <c r="T29" i="18"/>
  <c r="T27" i="18"/>
  <c r="T34" i="18"/>
  <c r="T16" i="18"/>
  <c r="T9" i="18"/>
  <c r="T24" i="18"/>
  <c r="T15" i="18"/>
  <c r="T22" i="18"/>
  <c r="T31" i="18"/>
  <c r="V30" i="17" l="1"/>
  <c r="V16" i="17"/>
  <c r="V24" i="17"/>
  <c r="V22" i="17"/>
  <c r="V11" i="17"/>
  <c r="V25" i="17"/>
  <c r="V34" i="17"/>
  <c r="U34" i="18"/>
  <c r="V14" i="17"/>
  <c r="W7" i="17"/>
  <c r="W29" i="17" s="1"/>
  <c r="V28" i="17"/>
  <c r="V15" i="17"/>
  <c r="V17" i="17"/>
  <c r="V23" i="17"/>
  <c r="V27" i="17"/>
  <c r="V31" i="17"/>
  <c r="V35" i="17"/>
  <c r="V13" i="17"/>
  <c r="V21" i="17"/>
  <c r="V26" i="17"/>
  <c r="V32" i="17"/>
  <c r="V9" i="17"/>
  <c r="V12" i="17"/>
  <c r="V20" i="17"/>
  <c r="V18" i="17"/>
  <c r="V19" i="17"/>
  <c r="V29" i="17"/>
  <c r="U22" i="18"/>
  <c r="U14" i="18"/>
  <c r="U12" i="18"/>
  <c r="U29" i="18"/>
  <c r="U9" i="18"/>
  <c r="U25" i="18"/>
  <c r="U13" i="18"/>
  <c r="U16" i="18"/>
  <c r="U23" i="18"/>
  <c r="U19" i="18"/>
  <c r="U31" i="18"/>
  <c r="U30" i="18"/>
  <c r="U11" i="18"/>
  <c r="U15" i="18"/>
  <c r="U17" i="18"/>
  <c r="U18" i="18"/>
  <c r="U27" i="18"/>
  <c r="U33" i="18"/>
  <c r="U26" i="18"/>
  <c r="V7" i="18"/>
  <c r="V32" i="18" s="1"/>
  <c r="U20" i="18"/>
  <c r="U21" i="18"/>
  <c r="U24" i="18"/>
  <c r="U28" i="18"/>
  <c r="U35" i="18"/>
  <c r="W30" i="17" l="1"/>
  <c r="W23" i="17"/>
  <c r="W32" i="17"/>
  <c r="W34" i="17"/>
  <c r="W27" i="17"/>
  <c r="W31" i="17"/>
  <c r="W26" i="17"/>
  <c r="W35" i="17"/>
  <c r="W28" i="17"/>
  <c r="W33" i="17"/>
  <c r="W16" i="17"/>
  <c r="W17" i="17"/>
  <c r="W21" i="17"/>
  <c r="W18" i="17"/>
  <c r="W22" i="17"/>
  <c r="W14" i="17"/>
  <c r="W24" i="17"/>
  <c r="W6" i="17"/>
  <c r="W11" i="17"/>
  <c r="X7" i="17"/>
  <c r="X32" i="17" s="1"/>
  <c r="W9" i="17"/>
  <c r="W15" i="17"/>
  <c r="W12" i="17"/>
  <c r="W19" i="17"/>
  <c r="W13" i="17"/>
  <c r="W20" i="17"/>
  <c r="W25" i="17"/>
  <c r="V19" i="18"/>
  <c r="V27" i="18"/>
  <c r="V12" i="18"/>
  <c r="V25" i="18"/>
  <c r="V20" i="18"/>
  <c r="V33" i="18"/>
  <c r="V22" i="18"/>
  <c r="V9" i="18"/>
  <c r="V14" i="18"/>
  <c r="V26" i="18"/>
  <c r="V23" i="18"/>
  <c r="V24" i="18"/>
  <c r="V30" i="18"/>
  <c r="V34" i="18"/>
  <c r="V11" i="18"/>
  <c r="V16" i="18"/>
  <c r="V17" i="18"/>
  <c r="V13" i="18"/>
  <c r="V28" i="18"/>
  <c r="V31" i="18"/>
  <c r="V35" i="18"/>
  <c r="W7" i="18"/>
  <c r="W34" i="18" s="1"/>
  <c r="V15" i="18"/>
  <c r="V21" i="18"/>
  <c r="V18" i="18"/>
  <c r="V29" i="18"/>
  <c r="X15" i="17" l="1"/>
  <c r="X11" i="17"/>
  <c r="X18" i="17"/>
  <c r="X13" i="17"/>
  <c r="X34" i="17"/>
  <c r="X35" i="17"/>
  <c r="X23" i="17"/>
  <c r="Y7" i="17"/>
  <c r="Y25" i="17" s="1"/>
  <c r="X12" i="17"/>
  <c r="X19" i="17"/>
  <c r="X24" i="17"/>
  <c r="X20" i="17"/>
  <c r="X27" i="17"/>
  <c r="X25" i="17"/>
  <c r="X16" i="17"/>
  <c r="X17" i="17"/>
  <c r="X21" i="17"/>
  <c r="X28" i="17"/>
  <c r="X29" i="17"/>
  <c r="X26" i="17"/>
  <c r="X30" i="17"/>
  <c r="X33" i="17"/>
  <c r="X31" i="17"/>
  <c r="X14" i="17"/>
  <c r="X22" i="17"/>
  <c r="X9" i="17"/>
  <c r="W18" i="18"/>
  <c r="W16" i="18"/>
  <c r="W24" i="18"/>
  <c r="W17" i="18"/>
  <c r="W28" i="18"/>
  <c r="W15" i="18"/>
  <c r="W26" i="18"/>
  <c r="W32" i="18"/>
  <c r="X7" i="18"/>
  <c r="X33" i="18" s="1"/>
  <c r="W6" i="18"/>
  <c r="W14" i="18"/>
  <c r="W22" i="18"/>
  <c r="W35" i="18"/>
  <c r="W31" i="18"/>
  <c r="W9" i="18"/>
  <c r="W12" i="18"/>
  <c r="W19" i="18"/>
  <c r="W21" i="18"/>
  <c r="W23" i="18"/>
  <c r="W29" i="18"/>
  <c r="W33" i="18"/>
  <c r="W11" i="18"/>
  <c r="W13" i="18"/>
  <c r="W20" i="18"/>
  <c r="W25" i="18"/>
  <c r="W27" i="18"/>
  <c r="W30" i="18"/>
  <c r="Y32" i="17" l="1"/>
  <c r="Y31" i="17"/>
  <c r="Y27" i="17"/>
  <c r="Y33" i="17"/>
  <c r="Y28" i="17"/>
  <c r="Y29" i="17"/>
  <c r="Y35" i="17"/>
  <c r="Y12" i="17"/>
  <c r="Y13" i="17"/>
  <c r="Y14" i="17"/>
  <c r="Z7" i="17"/>
  <c r="Z25" i="17" s="1"/>
  <c r="Y16" i="17"/>
  <c r="Y17" i="17"/>
  <c r="Y21" i="17"/>
  <c r="Y11" i="17"/>
  <c r="Y9" i="17"/>
  <c r="Y15" i="17"/>
  <c r="Y18" i="17"/>
  <c r="Y30" i="17"/>
  <c r="Y22" i="17"/>
  <c r="Y26" i="17"/>
  <c r="Y19" i="17"/>
  <c r="Y23" i="17"/>
  <c r="Y24" i="17"/>
  <c r="Y34" i="17"/>
  <c r="Y20" i="17"/>
  <c r="X13" i="18"/>
  <c r="X26" i="18"/>
  <c r="X30" i="18"/>
  <c r="X17" i="18"/>
  <c r="X11" i="18"/>
  <c r="X34" i="18"/>
  <c r="X28" i="18"/>
  <c r="X16" i="18"/>
  <c r="X15" i="18"/>
  <c r="X31" i="18"/>
  <c r="X35" i="18"/>
  <c r="X25" i="18"/>
  <c r="X29" i="18"/>
  <c r="X18" i="18"/>
  <c r="X20" i="18"/>
  <c r="X23" i="18"/>
  <c r="X32" i="18"/>
  <c r="X21" i="18"/>
  <c r="X14" i="18"/>
  <c r="X22" i="18"/>
  <c r="Y7" i="18"/>
  <c r="Y31" i="18" s="1"/>
  <c r="X12" i="18"/>
  <c r="X9" i="18"/>
  <c r="X19" i="18"/>
  <c r="X24" i="18"/>
  <c r="X27" i="18"/>
  <c r="Z30" i="17" l="1"/>
  <c r="Z31" i="17"/>
  <c r="Z28" i="17"/>
  <c r="Z29" i="17"/>
  <c r="Z33" i="17"/>
  <c r="Z27" i="17"/>
  <c r="Z32" i="17"/>
  <c r="Z34" i="17"/>
  <c r="Z18" i="17"/>
  <c r="Z23" i="17"/>
  <c r="Z22" i="17"/>
  <c r="Z19" i="17"/>
  <c r="Z24" i="17"/>
  <c r="Z26" i="17"/>
  <c r="Z35" i="17"/>
  <c r="Z11" i="17"/>
  <c r="Z9" i="17"/>
  <c r="Z15" i="17"/>
  <c r="AA7" i="17"/>
  <c r="AA26" i="17" s="1"/>
  <c r="Z20" i="17"/>
  <c r="Z12" i="17"/>
  <c r="Z13" i="17"/>
  <c r="Z14" i="17"/>
  <c r="Z16" i="17"/>
  <c r="Z21" i="17"/>
  <c r="Z17" i="17"/>
  <c r="Y20" i="18"/>
  <c r="Y19" i="18"/>
  <c r="Y23" i="18"/>
  <c r="Y27" i="18"/>
  <c r="Y9" i="18"/>
  <c r="Y16" i="18"/>
  <c r="Y28" i="18"/>
  <c r="Y12" i="18"/>
  <c r="Y21" i="18"/>
  <c r="Y26" i="18"/>
  <c r="Y11" i="18"/>
  <c r="Y34" i="18"/>
  <c r="Y25" i="18"/>
  <c r="Y33" i="18"/>
  <c r="Z7" i="18"/>
  <c r="Z34" i="18" s="1"/>
  <c r="Y24" i="18"/>
  <c r="Y30" i="18"/>
  <c r="Y18" i="18"/>
  <c r="Y22" i="18"/>
  <c r="Y29" i="18"/>
  <c r="Y35" i="18"/>
  <c r="Y13" i="18"/>
  <c r="Y15" i="18"/>
  <c r="Y17" i="18"/>
  <c r="Y14" i="18"/>
  <c r="Y32" i="18"/>
  <c r="AA35" i="17" l="1"/>
  <c r="AA34" i="17"/>
  <c r="AA33" i="17"/>
  <c r="AA14" i="17"/>
  <c r="AA11" i="17"/>
  <c r="AA15" i="17"/>
  <c r="AA24" i="17"/>
  <c r="AA28" i="17"/>
  <c r="AA19" i="17"/>
  <c r="AB7" i="17"/>
  <c r="AB20" i="17" s="1"/>
  <c r="AA13" i="17"/>
  <c r="AA20" i="17"/>
  <c r="AA12" i="17"/>
  <c r="AA25" i="17"/>
  <c r="AA16" i="17"/>
  <c r="AA17" i="17"/>
  <c r="AA21" i="17"/>
  <c r="AA29" i="17"/>
  <c r="AA18" i="17"/>
  <c r="AA22" i="17"/>
  <c r="AA27" i="17"/>
  <c r="AA30" i="17"/>
  <c r="AA31" i="17"/>
  <c r="AA9" i="17"/>
  <c r="AA32" i="17"/>
  <c r="AA23" i="17"/>
  <c r="Z35" i="18"/>
  <c r="Z28" i="18"/>
  <c r="Z16" i="18"/>
  <c r="Z20" i="18"/>
  <c r="Z23" i="18"/>
  <c r="Z33" i="18"/>
  <c r="Z9" i="18"/>
  <c r="Z27" i="18"/>
  <c r="Z22" i="18"/>
  <c r="Z21" i="18"/>
  <c r="Z25" i="18"/>
  <c r="Z12" i="18"/>
  <c r="Z13" i="18"/>
  <c r="Z31" i="18"/>
  <c r="Z19" i="18"/>
  <c r="Z14" i="18"/>
  <c r="Z17" i="18"/>
  <c r="Z18" i="18"/>
  <c r="Z29" i="18"/>
  <c r="Z32" i="18"/>
  <c r="Z11" i="18"/>
  <c r="AA7" i="18"/>
  <c r="AA35" i="18" s="1"/>
  <c r="Z15" i="18"/>
  <c r="Z26" i="18"/>
  <c r="Z24" i="18"/>
  <c r="Z30" i="18"/>
  <c r="AB26" i="17" l="1"/>
  <c r="AB17" i="17"/>
  <c r="AB28" i="17"/>
  <c r="AB29" i="17"/>
  <c r="AB30" i="17"/>
  <c r="AB31" i="17"/>
  <c r="AB21" i="17"/>
  <c r="AB32" i="17"/>
  <c r="AB33" i="17"/>
  <c r="AB34" i="17"/>
  <c r="AB35" i="17"/>
  <c r="AB18" i="17"/>
  <c r="AB14" i="17"/>
  <c r="AB13" i="17"/>
  <c r="AB19" i="17"/>
  <c r="AB9" i="17"/>
  <c r="AB22" i="17"/>
  <c r="AB11" i="17"/>
  <c r="AB15" i="17"/>
  <c r="AC7" i="17"/>
  <c r="AC29" i="17" s="1"/>
  <c r="AB27" i="17"/>
  <c r="AB12" i="17"/>
  <c r="AB16" i="17"/>
  <c r="AB25" i="17"/>
  <c r="AB23" i="17"/>
  <c r="AB24" i="17"/>
  <c r="AA14" i="18"/>
  <c r="AA16" i="18"/>
  <c r="AA32" i="18"/>
  <c r="AA22" i="18"/>
  <c r="AA13" i="18"/>
  <c r="AA28" i="18"/>
  <c r="AA15" i="18"/>
  <c r="AB7" i="18"/>
  <c r="AB33" i="18" s="1"/>
  <c r="AA19" i="18"/>
  <c r="AA17" i="18"/>
  <c r="AA23" i="18"/>
  <c r="AA29" i="18"/>
  <c r="AA33" i="18"/>
  <c r="AA9" i="18"/>
  <c r="AA12" i="18"/>
  <c r="AA25" i="18"/>
  <c r="AA21" i="18"/>
  <c r="AA27" i="18"/>
  <c r="AA30" i="18"/>
  <c r="AA34" i="18"/>
  <c r="AA11" i="18"/>
  <c r="AA18" i="18"/>
  <c r="AA20" i="18"/>
  <c r="AA26" i="18"/>
  <c r="AA24" i="18"/>
  <c r="AA31" i="18"/>
  <c r="AC13" i="17" l="1"/>
  <c r="AC18" i="17"/>
  <c r="AC14" i="17"/>
  <c r="AC26" i="17"/>
  <c r="AC9" i="17"/>
  <c r="AC11" i="17"/>
  <c r="AC22" i="17"/>
  <c r="AC15" i="17"/>
  <c r="AC21" i="17"/>
  <c r="AC31" i="17"/>
  <c r="AC23" i="17"/>
  <c r="AC19" i="17"/>
  <c r="AC24" i="17"/>
  <c r="AC33" i="17"/>
  <c r="AC35" i="17"/>
  <c r="AC20" i="17"/>
  <c r="AC25" i="17"/>
  <c r="AC27" i="17"/>
  <c r="AC30" i="17"/>
  <c r="AD7" i="17"/>
  <c r="AD32" i="17" s="1"/>
  <c r="AC32" i="17"/>
  <c r="AC34" i="17"/>
  <c r="AC16" i="17"/>
  <c r="AC28" i="17"/>
  <c r="AC17" i="17"/>
  <c r="AC12" i="17"/>
  <c r="AB21" i="18"/>
  <c r="AB30" i="18"/>
  <c r="AB18" i="18"/>
  <c r="AB34" i="18"/>
  <c r="AB25" i="18"/>
  <c r="AB14" i="18"/>
  <c r="AB26" i="18"/>
  <c r="AB17" i="18"/>
  <c r="AB9" i="18"/>
  <c r="AB24" i="18"/>
  <c r="AB15" i="18"/>
  <c r="AB22" i="18"/>
  <c r="AB31" i="18"/>
  <c r="AB35" i="18"/>
  <c r="AC7" i="18"/>
  <c r="AC33" i="18" s="1"/>
  <c r="AB11" i="18"/>
  <c r="AB29" i="18"/>
  <c r="AB20" i="18"/>
  <c r="AB23" i="18"/>
  <c r="AB32" i="18"/>
  <c r="AB12" i="18"/>
  <c r="AB16" i="18"/>
  <c r="AB13" i="18"/>
  <c r="AB19" i="18"/>
  <c r="AB28" i="18"/>
  <c r="AB27" i="18"/>
  <c r="AD21" i="17" l="1"/>
  <c r="AD23" i="17"/>
  <c r="AD19" i="17"/>
  <c r="AD18" i="17"/>
  <c r="AD24" i="17"/>
  <c r="AD22" i="17"/>
  <c r="AD26" i="17"/>
  <c r="AD27" i="17"/>
  <c r="AD13" i="17"/>
  <c r="AD14" i="17"/>
  <c r="AD29" i="17"/>
  <c r="AD30" i="17"/>
  <c r="AD11" i="17"/>
  <c r="AD33" i="17"/>
  <c r="AD17" i="17"/>
  <c r="AD35" i="17"/>
  <c r="AD28" i="17"/>
  <c r="AD9" i="17"/>
  <c r="AD15" i="17"/>
  <c r="AD31" i="17"/>
  <c r="AE7" i="17"/>
  <c r="AE13" i="17" s="1"/>
  <c r="AD16" i="17"/>
  <c r="AD34" i="17"/>
  <c r="AD20" i="17"/>
  <c r="AD25" i="17"/>
  <c r="AD6" i="17"/>
  <c r="AD12" i="17"/>
  <c r="AC29" i="18"/>
  <c r="AC35" i="18"/>
  <c r="AC15" i="18"/>
  <c r="AC9" i="18"/>
  <c r="AC25" i="18"/>
  <c r="AC22" i="18"/>
  <c r="AC24" i="18"/>
  <c r="AC11" i="18"/>
  <c r="AC16" i="18"/>
  <c r="AC23" i="18"/>
  <c r="AC14" i="18"/>
  <c r="AC30" i="18"/>
  <c r="AC26" i="18"/>
  <c r="AD7" i="18"/>
  <c r="AD35" i="18" s="1"/>
  <c r="AC13" i="18"/>
  <c r="AC17" i="18"/>
  <c r="AC27" i="18"/>
  <c r="AC19" i="18"/>
  <c r="AC32" i="18"/>
  <c r="AC31" i="18"/>
  <c r="AC12" i="18"/>
  <c r="AC20" i="18"/>
  <c r="AC21" i="18"/>
  <c r="AC18" i="18"/>
  <c r="AC28" i="18"/>
  <c r="AC34" i="18"/>
  <c r="AE29" i="17" l="1"/>
  <c r="AE16" i="17"/>
  <c r="AE28" i="17"/>
  <c r="AE21" i="17"/>
  <c r="AE26" i="17"/>
  <c r="AE18" i="17"/>
  <c r="AE22" i="17"/>
  <c r="AE17" i="17"/>
  <c r="AE20" i="17"/>
  <c r="AE23" i="17"/>
  <c r="AE25" i="17"/>
  <c r="AE30" i="17"/>
  <c r="AE32" i="17"/>
  <c r="AE12" i="17"/>
  <c r="AE34" i="17"/>
  <c r="AE14" i="17"/>
  <c r="AE27" i="17"/>
  <c r="AE9" i="17"/>
  <c r="AE11" i="17"/>
  <c r="AE31" i="17"/>
  <c r="AE15" i="17"/>
  <c r="AF7" i="17"/>
  <c r="AF12" i="17" s="1"/>
  <c r="AE33" i="17"/>
  <c r="AE19" i="17"/>
  <c r="AE35" i="17"/>
  <c r="AE24" i="17"/>
  <c r="AD14" i="18"/>
  <c r="AD22" i="18"/>
  <c r="AD29" i="18"/>
  <c r="AD15" i="18"/>
  <c r="AD32" i="18"/>
  <c r="AD9" i="18"/>
  <c r="AD26" i="18"/>
  <c r="AD11" i="18"/>
  <c r="AD19" i="18"/>
  <c r="AD20" i="18"/>
  <c r="AD23" i="18"/>
  <c r="AD27" i="18"/>
  <c r="AD25" i="18"/>
  <c r="AD33" i="18"/>
  <c r="AE7" i="18"/>
  <c r="AE35" i="18" s="1"/>
  <c r="AD6" i="18"/>
  <c r="AD17" i="18"/>
  <c r="AD13" i="18"/>
  <c r="AD24" i="18"/>
  <c r="AD30" i="18"/>
  <c r="AD34" i="18"/>
  <c r="AD12" i="18"/>
  <c r="AD16" i="18"/>
  <c r="AD21" i="18"/>
  <c r="AD18" i="18"/>
  <c r="AD28" i="18"/>
  <c r="AD31" i="18"/>
  <c r="AF19" i="17" l="1"/>
  <c r="AF16" i="17"/>
  <c r="AF24" i="17"/>
  <c r="AF15" i="17"/>
  <c r="AF20" i="17"/>
  <c r="AF25" i="17"/>
  <c r="AF27" i="17"/>
  <c r="AF26" i="17"/>
  <c r="AF17" i="17"/>
  <c r="AF21" i="17"/>
  <c r="AF28" i="17"/>
  <c r="AF14" i="17"/>
  <c r="AF30" i="17"/>
  <c r="AF23" i="17"/>
  <c r="AF32" i="17"/>
  <c r="AF9" i="17"/>
  <c r="AF33" i="17"/>
  <c r="AF34" i="17"/>
  <c r="AF22" i="17"/>
  <c r="AF35" i="17"/>
  <c r="AF11" i="17"/>
  <c r="AF18" i="17"/>
  <c r="AG7" i="17"/>
  <c r="AG9" i="17" s="1"/>
  <c r="AF29" i="17"/>
  <c r="AF13" i="17"/>
  <c r="AF31" i="17"/>
  <c r="AE14" i="18"/>
  <c r="AE17" i="18"/>
  <c r="AE32" i="18"/>
  <c r="AE22" i="18"/>
  <c r="AE11" i="18"/>
  <c r="AE28" i="18"/>
  <c r="AE13" i="18"/>
  <c r="AF7" i="18"/>
  <c r="AF32" i="18" s="1"/>
  <c r="AE19" i="18"/>
  <c r="AE21" i="18"/>
  <c r="AE23" i="18"/>
  <c r="AE29" i="18"/>
  <c r="AE33" i="18"/>
  <c r="AE18" i="18"/>
  <c r="AE12" i="18"/>
  <c r="AE20" i="18"/>
  <c r="AE25" i="18"/>
  <c r="AE27" i="18"/>
  <c r="AE30" i="18"/>
  <c r="AE34" i="18"/>
  <c r="AE9" i="18"/>
  <c r="AE15" i="18"/>
  <c r="AE16" i="18"/>
  <c r="AE26" i="18"/>
  <c r="AE24" i="18"/>
  <c r="AE31" i="18"/>
  <c r="AG18" i="17" l="1"/>
  <c r="AG24" i="17"/>
  <c r="AG23" i="17"/>
  <c r="AG19" i="17"/>
  <c r="AG27" i="17"/>
  <c r="AG11" i="17"/>
  <c r="AG22" i="17"/>
  <c r="AG26" i="17"/>
  <c r="AG35" i="17"/>
  <c r="AG25" i="17"/>
  <c r="AG28" i="17"/>
  <c r="AG20" i="17"/>
  <c r="AG33" i="17"/>
  <c r="AG13" i="17"/>
  <c r="AG30" i="17"/>
  <c r="AG32" i="17"/>
  <c r="AH7" i="17"/>
  <c r="AH14" i="17" s="1"/>
  <c r="AG21" i="17"/>
  <c r="AG31" i="17"/>
  <c r="AG29" i="17"/>
  <c r="AG14" i="17"/>
  <c r="AG16" i="17"/>
  <c r="AG34" i="17"/>
  <c r="AG17" i="17"/>
  <c r="AG15" i="17"/>
  <c r="AG12" i="17"/>
  <c r="AF24" i="18"/>
  <c r="AF33" i="18"/>
  <c r="AF28" i="18"/>
  <c r="AF11" i="18"/>
  <c r="AF16" i="18"/>
  <c r="AF14" i="18"/>
  <c r="AF26" i="18"/>
  <c r="AF34" i="18"/>
  <c r="AF25" i="18"/>
  <c r="AF19" i="18"/>
  <c r="AF27" i="18"/>
  <c r="AG7" i="18"/>
  <c r="AG26" i="18" s="1"/>
  <c r="AF29" i="18"/>
  <c r="AF30" i="18"/>
  <c r="AF13" i="18"/>
  <c r="AF12" i="18"/>
  <c r="AF21" i="18"/>
  <c r="AF15" i="18"/>
  <c r="AF22" i="18"/>
  <c r="AF31" i="18"/>
  <c r="AF35" i="18"/>
  <c r="AF17" i="18"/>
  <c r="AF9" i="18"/>
  <c r="AF18" i="18"/>
  <c r="AF20" i="18"/>
  <c r="AF23" i="18"/>
  <c r="AH23" i="17" l="1"/>
  <c r="AH19" i="17"/>
  <c r="AH24" i="17"/>
  <c r="AH26" i="17"/>
  <c r="AH27" i="17"/>
  <c r="AH31" i="17"/>
  <c r="AH11" i="17"/>
  <c r="AI7" i="17"/>
  <c r="AI17" i="17" s="1"/>
  <c r="AH18" i="17"/>
  <c r="AH28" i="17"/>
  <c r="AH29" i="17"/>
  <c r="AH30" i="17"/>
  <c r="AH9" i="17"/>
  <c r="AH16" i="17"/>
  <c r="AH17" i="17"/>
  <c r="AH21" i="17"/>
  <c r="AH22" i="17"/>
  <c r="AH15" i="17"/>
  <c r="AH35" i="17"/>
  <c r="AH12" i="17"/>
  <c r="AH25" i="17"/>
  <c r="AH33" i="17"/>
  <c r="AH20" i="17"/>
  <c r="AH32" i="17"/>
  <c r="AH13" i="17"/>
  <c r="AH34" i="17"/>
  <c r="AG14" i="18"/>
  <c r="AG30" i="18"/>
  <c r="AG13" i="18"/>
  <c r="AG12" i="18"/>
  <c r="AG16" i="18"/>
  <c r="AG22" i="18"/>
  <c r="AG34" i="18"/>
  <c r="AG15" i="18"/>
  <c r="AG21" i="18"/>
  <c r="AG33" i="18"/>
  <c r="AG9" i="18"/>
  <c r="AG27" i="18"/>
  <c r="AG29" i="18"/>
  <c r="AH7" i="18"/>
  <c r="AH35" i="18" s="1"/>
  <c r="AG31" i="18"/>
  <c r="AG24" i="18"/>
  <c r="AG18" i="18"/>
  <c r="AG19" i="18"/>
  <c r="AG28" i="18"/>
  <c r="AG32" i="18"/>
  <c r="AG20" i="18"/>
  <c r="AG11" i="18"/>
  <c r="AG17" i="18"/>
  <c r="AG35" i="18"/>
  <c r="AG23" i="18"/>
  <c r="AG25" i="18"/>
  <c r="AI30" i="17" l="1"/>
  <c r="AI27" i="17"/>
  <c r="AI26" i="17"/>
  <c r="AI32" i="17"/>
  <c r="AI31" i="17"/>
  <c r="AI34" i="17"/>
  <c r="AI35" i="17"/>
  <c r="AI33" i="17"/>
  <c r="AI19" i="17"/>
  <c r="AI14" i="17"/>
  <c r="AI9" i="17"/>
  <c r="AI11" i="17"/>
  <c r="AI29" i="17"/>
  <c r="AJ7" i="17"/>
  <c r="AJ12" i="17" s="1"/>
  <c r="AI23" i="17"/>
  <c r="AI12" i="17"/>
  <c r="AI13" i="17"/>
  <c r="AI15" i="17"/>
  <c r="AI24" i="17"/>
  <c r="AI20" i="17"/>
  <c r="AI21" i="17"/>
  <c r="AI28" i="17"/>
  <c r="AI18" i="17"/>
  <c r="AI25" i="17"/>
  <c r="AI22" i="17"/>
  <c r="AI16" i="17"/>
  <c r="AH20" i="18"/>
  <c r="AH18" i="18"/>
  <c r="AH22" i="18"/>
  <c r="AH29" i="18"/>
  <c r="AH12" i="18"/>
  <c r="AH32" i="18"/>
  <c r="AH9" i="18"/>
  <c r="AH14" i="18"/>
  <c r="AH26" i="18"/>
  <c r="AH17" i="18"/>
  <c r="AH27" i="18"/>
  <c r="AH25" i="18"/>
  <c r="AH33" i="18"/>
  <c r="AH11" i="18"/>
  <c r="AH23" i="18"/>
  <c r="AH19" i="18"/>
  <c r="AH21" i="18"/>
  <c r="AH24" i="18"/>
  <c r="AH30" i="18"/>
  <c r="AH34" i="18"/>
  <c r="AH16" i="18"/>
  <c r="AI7" i="18"/>
  <c r="AI35" i="18" s="1"/>
  <c r="AH15" i="18"/>
  <c r="AH13" i="18"/>
  <c r="AH28" i="18"/>
  <c r="AH31" i="18"/>
  <c r="AJ9" i="17" l="1"/>
  <c r="AJ24" i="17"/>
  <c r="AJ22" i="17"/>
  <c r="AJ15" i="17"/>
  <c r="AJ20" i="17"/>
  <c r="AJ25" i="17"/>
  <c r="AJ16" i="17"/>
  <c r="AJ17" i="17"/>
  <c r="AJ21" i="17"/>
  <c r="AJ28" i="17"/>
  <c r="AJ29" i="17"/>
  <c r="AJ30" i="17"/>
  <c r="AJ26" i="17"/>
  <c r="AJ31" i="17"/>
  <c r="AJ32" i="17"/>
  <c r="AJ33" i="17"/>
  <c r="AJ18" i="17"/>
  <c r="AJ23" i="17"/>
  <c r="AJ13" i="17"/>
  <c r="AJ34" i="17"/>
  <c r="AJ14" i="17"/>
  <c r="AJ19" i="17"/>
  <c r="AJ11" i="17"/>
  <c r="AJ27" i="17"/>
  <c r="AJ35" i="17"/>
  <c r="AK7" i="17"/>
  <c r="AK20" i="17" s="1"/>
  <c r="AI16" i="18"/>
  <c r="AI22" i="18"/>
  <c r="AI11" i="18"/>
  <c r="AI28" i="18"/>
  <c r="AI14" i="18"/>
  <c r="AI32" i="18"/>
  <c r="AI15" i="18"/>
  <c r="AI13" i="18"/>
  <c r="AI19" i="18"/>
  <c r="AI17" i="18"/>
  <c r="AI23" i="18"/>
  <c r="AI29" i="18"/>
  <c r="AI33" i="18"/>
  <c r="AI18" i="18"/>
  <c r="AJ7" i="18"/>
  <c r="AJ33" i="18" s="1"/>
  <c r="AI25" i="18"/>
  <c r="AI21" i="18"/>
  <c r="AI27" i="18"/>
  <c r="AI30" i="18"/>
  <c r="AI34" i="18"/>
  <c r="AI9" i="18"/>
  <c r="AI12" i="18"/>
  <c r="AI20" i="18"/>
  <c r="AI26" i="18"/>
  <c r="AI24" i="18"/>
  <c r="AI31" i="18"/>
  <c r="AK34" i="17" l="1"/>
  <c r="AK32" i="17"/>
  <c r="AK30" i="17"/>
  <c r="AL7" i="17"/>
  <c r="AL28" i="17" s="1"/>
  <c r="AK25" i="17"/>
  <c r="AK13" i="17"/>
  <c r="AK18" i="17"/>
  <c r="AK12" i="17"/>
  <c r="AK16" i="17"/>
  <c r="AK28" i="17"/>
  <c r="AK17" i="17"/>
  <c r="AK29" i="17"/>
  <c r="AK21" i="17"/>
  <c r="AK6" i="17"/>
  <c r="AK11" i="17"/>
  <c r="AK14" i="17"/>
  <c r="AK33" i="17"/>
  <c r="AK9" i="17"/>
  <c r="AK35" i="17"/>
  <c r="AK22" i="17"/>
  <c r="AK23" i="17"/>
  <c r="AK19" i="17"/>
  <c r="AK24" i="17"/>
  <c r="AK27" i="17"/>
  <c r="AK31" i="17"/>
  <c r="AK26" i="17"/>
  <c r="AK15" i="17"/>
  <c r="AJ35" i="18"/>
  <c r="AJ34" i="18"/>
  <c r="AJ18" i="18"/>
  <c r="AJ24" i="18"/>
  <c r="AJ13" i="18"/>
  <c r="AJ26" i="18"/>
  <c r="AJ14" i="18"/>
  <c r="AJ22" i="18"/>
  <c r="AJ16" i="18"/>
  <c r="AJ25" i="18"/>
  <c r="AJ30" i="18"/>
  <c r="AJ9" i="18"/>
  <c r="AJ15" i="18"/>
  <c r="AJ31" i="18"/>
  <c r="AJ12" i="18"/>
  <c r="AJ11" i="18"/>
  <c r="AJ28" i="18"/>
  <c r="AJ20" i="18"/>
  <c r="AJ23" i="18"/>
  <c r="AJ32" i="18"/>
  <c r="AK7" i="18"/>
  <c r="AK34" i="18" s="1"/>
  <c r="AJ21" i="18"/>
  <c r="AJ17" i="18"/>
  <c r="AJ19" i="18"/>
  <c r="AJ29" i="18"/>
  <c r="AJ27" i="18"/>
  <c r="AL35" i="17"/>
  <c r="AL34" i="17"/>
  <c r="AL33" i="17"/>
  <c r="AL32" i="17"/>
  <c r="AL31" i="17"/>
  <c r="AL30" i="17"/>
  <c r="AL29" i="17"/>
  <c r="AL9" i="17" l="1"/>
  <c r="AL15" i="17"/>
  <c r="AM7" i="17"/>
  <c r="AM29" i="17" s="1"/>
  <c r="AL11" i="17"/>
  <c r="AL12" i="17"/>
  <c r="AL16" i="17"/>
  <c r="AL17" i="17"/>
  <c r="AL13" i="17"/>
  <c r="AL21" i="17"/>
  <c r="AL14" i="17"/>
  <c r="AL20" i="17"/>
  <c r="AL18" i="17"/>
  <c r="AL22" i="17"/>
  <c r="AL23" i="17"/>
  <c r="AL19" i="17"/>
  <c r="AL24" i="17"/>
  <c r="AL25" i="17"/>
  <c r="AL26" i="17"/>
  <c r="AL27" i="17"/>
  <c r="AK15" i="18"/>
  <c r="AK9" i="18"/>
  <c r="AK19" i="18"/>
  <c r="AK22" i="18"/>
  <c r="AK6" i="18"/>
  <c r="AK16" i="18"/>
  <c r="AK35" i="18"/>
  <c r="AK24" i="18"/>
  <c r="AK29" i="18"/>
  <c r="AK30" i="18"/>
  <c r="AK11" i="18"/>
  <c r="AK21" i="18"/>
  <c r="AK14" i="18"/>
  <c r="AK31" i="18"/>
  <c r="AK12" i="18"/>
  <c r="AK20" i="18"/>
  <c r="AK23" i="18"/>
  <c r="AK28" i="18"/>
  <c r="AK26" i="18"/>
  <c r="AL7" i="18"/>
  <c r="AL35" i="18" s="1"/>
  <c r="AK13" i="18"/>
  <c r="AK17" i="18"/>
  <c r="AK18" i="18"/>
  <c r="AK27" i="18"/>
  <c r="AK33" i="18"/>
  <c r="AK32" i="18"/>
  <c r="AK25" i="18"/>
  <c r="AM18" i="17" l="1"/>
  <c r="AM23" i="17"/>
  <c r="AM21" i="17"/>
  <c r="AM27" i="17"/>
  <c r="AM17" i="17"/>
  <c r="AM22" i="17"/>
  <c r="AM28" i="17"/>
  <c r="AM26" i="17"/>
  <c r="AM31" i="17"/>
  <c r="AM30" i="17"/>
  <c r="AM32" i="17"/>
  <c r="AM33" i="17"/>
  <c r="AM34" i="17"/>
  <c r="AM35" i="17"/>
  <c r="AM14" i="17"/>
  <c r="AM9" i="17"/>
  <c r="AM15" i="17"/>
  <c r="AM11" i="17"/>
  <c r="AM24" i="17"/>
  <c r="AN7" i="17"/>
  <c r="AN26" i="17" s="1"/>
  <c r="AM12" i="17"/>
  <c r="AM19" i="17"/>
  <c r="AM25" i="17"/>
  <c r="AM13" i="17"/>
  <c r="AM20" i="17"/>
  <c r="AM16" i="17"/>
  <c r="AL21" i="18"/>
  <c r="AL20" i="18"/>
  <c r="AL26" i="18"/>
  <c r="AL15" i="18"/>
  <c r="AL17" i="18"/>
  <c r="AL23" i="18"/>
  <c r="AL22" i="18"/>
  <c r="AL13" i="18"/>
  <c r="AL24" i="18"/>
  <c r="AL18" i="18"/>
  <c r="AL27" i="18"/>
  <c r="AL28" i="18"/>
  <c r="AL29" i="18"/>
  <c r="AL25" i="18"/>
  <c r="AL11" i="18"/>
  <c r="AL30" i="18"/>
  <c r="AL31" i="18"/>
  <c r="AL9" i="18"/>
  <c r="AL34" i="18"/>
  <c r="AM7" i="18"/>
  <c r="AM33" i="18" s="1"/>
  <c r="AL12" i="18"/>
  <c r="AL32" i="18"/>
  <c r="AL14" i="18"/>
  <c r="AL33" i="18"/>
  <c r="AL19" i="18"/>
  <c r="AL16" i="18"/>
  <c r="AN35" i="17" l="1"/>
  <c r="AN34" i="17"/>
  <c r="AN33" i="17"/>
  <c r="AN22" i="17"/>
  <c r="AN14" i="17"/>
  <c r="AN24" i="17"/>
  <c r="AN9" i="17"/>
  <c r="AN11" i="17"/>
  <c r="AN18" i="17"/>
  <c r="AN23" i="17"/>
  <c r="AN19" i="17"/>
  <c r="AO7" i="17"/>
  <c r="AO21" i="17" s="1"/>
  <c r="AN12" i="17"/>
  <c r="AN25" i="17"/>
  <c r="AN27" i="17"/>
  <c r="AN15" i="17"/>
  <c r="AN16" i="17"/>
  <c r="AN20" i="17"/>
  <c r="AN31" i="17"/>
  <c r="AN32" i="17"/>
  <c r="AN17" i="17"/>
  <c r="AN21" i="17"/>
  <c r="AN28" i="17"/>
  <c r="AN29" i="17"/>
  <c r="AN30" i="17"/>
  <c r="AN13" i="17"/>
  <c r="AM14" i="18"/>
  <c r="AM19" i="18"/>
  <c r="AM13" i="18"/>
  <c r="AM20" i="18"/>
  <c r="AM26" i="18"/>
  <c r="AM34" i="18"/>
  <c r="AM15" i="18"/>
  <c r="AM16" i="18"/>
  <c r="AM17" i="18"/>
  <c r="AM21" i="18"/>
  <c r="AM35" i="18"/>
  <c r="AM22" i="18"/>
  <c r="AM25" i="18"/>
  <c r="AM28" i="18"/>
  <c r="AM9" i="18"/>
  <c r="AM29" i="18"/>
  <c r="AM32" i="18"/>
  <c r="AM23" i="18"/>
  <c r="AM27" i="18"/>
  <c r="AM24" i="18"/>
  <c r="AM11" i="18"/>
  <c r="AM30" i="18"/>
  <c r="AM18" i="18"/>
  <c r="AM31" i="18"/>
  <c r="AN7" i="18"/>
  <c r="AN30" i="18" s="1"/>
  <c r="AM12" i="18"/>
  <c r="AO9" i="17" l="1"/>
  <c r="AO30" i="17"/>
  <c r="AO11" i="17"/>
  <c r="AO18" i="17"/>
  <c r="AO22" i="17"/>
  <c r="AO20" i="17"/>
  <c r="AO19" i="17"/>
  <c r="AO26" i="17"/>
  <c r="AO12" i="17"/>
  <c r="AO15" i="17"/>
  <c r="AO29" i="17"/>
  <c r="AO32" i="17"/>
  <c r="AO24" i="17"/>
  <c r="AP7" i="17"/>
  <c r="AP29" i="17" s="1"/>
  <c r="AO28" i="17"/>
  <c r="AO33" i="17"/>
  <c r="AO23" i="17"/>
  <c r="AO34" i="17"/>
  <c r="AO14" i="17"/>
  <c r="AO27" i="17"/>
  <c r="AO13" i="17"/>
  <c r="AO31" i="17"/>
  <c r="AO16" i="17"/>
  <c r="AO35" i="17"/>
  <c r="AO17" i="17"/>
  <c r="AO25" i="17"/>
  <c r="AN17" i="18"/>
  <c r="AO7" i="18"/>
  <c r="AO30" i="18" s="1"/>
  <c r="AN13" i="18"/>
  <c r="AN12" i="18"/>
  <c r="AN16" i="18"/>
  <c r="AN11" i="18"/>
  <c r="AN9" i="18"/>
  <c r="AN32" i="18"/>
  <c r="AN31" i="18"/>
  <c r="AN33" i="18"/>
  <c r="AN34" i="18"/>
  <c r="AN35" i="18"/>
  <c r="AN14" i="18"/>
  <c r="AN18" i="18"/>
  <c r="AN25" i="18"/>
  <c r="AN19" i="18"/>
  <c r="AN20" i="18"/>
  <c r="AN24" i="18"/>
  <c r="AN23" i="18"/>
  <c r="AN28" i="18"/>
  <c r="AN15" i="18"/>
  <c r="AN26" i="18"/>
  <c r="AN22" i="18"/>
  <c r="AN21" i="18"/>
  <c r="AN27" i="18"/>
  <c r="AN29" i="18"/>
  <c r="AO35" i="18" l="1"/>
  <c r="AO34" i="18"/>
  <c r="AO29" i="18"/>
  <c r="AO25" i="18"/>
  <c r="AO26" i="18"/>
  <c r="AO28" i="18"/>
  <c r="AO31" i="18"/>
  <c r="AO33" i="18"/>
  <c r="AO19" i="18"/>
  <c r="AO14" i="18"/>
  <c r="AO22" i="18"/>
  <c r="AO23" i="18"/>
  <c r="AP7" i="18"/>
  <c r="AP34" i="18" s="1"/>
  <c r="AO12" i="18"/>
  <c r="AP11" i="17"/>
  <c r="AP17" i="17"/>
  <c r="AO13" i="18"/>
  <c r="AO32" i="18"/>
  <c r="AP21" i="17"/>
  <c r="AP30" i="17"/>
  <c r="AO15" i="18"/>
  <c r="AP34" i="17"/>
  <c r="AP32" i="17"/>
  <c r="AP33" i="17"/>
  <c r="AP31" i="17"/>
  <c r="AP35" i="17"/>
  <c r="AO24" i="18"/>
  <c r="AO27" i="18"/>
  <c r="AO18" i="18"/>
  <c r="AO9" i="18"/>
  <c r="AO11" i="18"/>
  <c r="AO20" i="18"/>
  <c r="AO16" i="18"/>
  <c r="AP20" i="17"/>
  <c r="AQ7" i="17"/>
  <c r="AQ22" i="17" s="1"/>
  <c r="AP13" i="17"/>
  <c r="AP12" i="17"/>
  <c r="AP15" i="17"/>
  <c r="AP14" i="17"/>
  <c r="AP16" i="17"/>
  <c r="AO17" i="18"/>
  <c r="AP19" i="17"/>
  <c r="AP22" i="17"/>
  <c r="AP18" i="17"/>
  <c r="AP24" i="17"/>
  <c r="AP23" i="17"/>
  <c r="AP25" i="17"/>
  <c r="AP26" i="17"/>
  <c r="AP27" i="17"/>
  <c r="AP28" i="17"/>
  <c r="AO21" i="18"/>
  <c r="AP9" i="17"/>
  <c r="AP15" i="18" l="1"/>
  <c r="AP20" i="18"/>
  <c r="AP17" i="18"/>
  <c r="AP21" i="18"/>
  <c r="AP26" i="18"/>
  <c r="AP13" i="18"/>
  <c r="AP18" i="18"/>
  <c r="AP27" i="18"/>
  <c r="AP12" i="18"/>
  <c r="AQ34" i="17"/>
  <c r="AQ35" i="17"/>
  <c r="AP22" i="18"/>
  <c r="AP14" i="18"/>
  <c r="AP24" i="18"/>
  <c r="AP28" i="18"/>
  <c r="AP35" i="18"/>
  <c r="AP29" i="18"/>
  <c r="AP30" i="18"/>
  <c r="AP9" i="18"/>
  <c r="AP16" i="18"/>
  <c r="AP19" i="18"/>
  <c r="AP32" i="18"/>
  <c r="AP25" i="18"/>
  <c r="AP11" i="18"/>
  <c r="AP31" i="18"/>
  <c r="AP23" i="18"/>
  <c r="AP33" i="18"/>
  <c r="AQ7" i="18"/>
  <c r="AQ31" i="18" s="1"/>
  <c r="AQ14" i="17"/>
  <c r="AR7" i="17"/>
  <c r="AR23" i="17" s="1"/>
  <c r="AQ28" i="17"/>
  <c r="AQ9" i="17"/>
  <c r="AQ11" i="17"/>
  <c r="AQ24" i="17"/>
  <c r="AQ19" i="17"/>
  <c r="AQ30" i="17"/>
  <c r="AQ12" i="17"/>
  <c r="AQ31" i="17"/>
  <c r="AQ32" i="17"/>
  <c r="AQ33" i="17"/>
  <c r="AQ13" i="17"/>
  <c r="AQ15" i="17"/>
  <c r="AQ16" i="17"/>
  <c r="AQ21" i="17"/>
  <c r="AQ23" i="17"/>
  <c r="AQ25" i="17"/>
  <c r="AQ20" i="17"/>
  <c r="AQ26" i="17"/>
  <c r="AQ27" i="17"/>
  <c r="AQ17" i="17"/>
  <c r="AQ29" i="17"/>
  <c r="AQ18" i="17"/>
  <c r="AQ34" i="18" l="1"/>
  <c r="AQ32" i="18"/>
  <c r="AQ33" i="18"/>
  <c r="AQ35" i="18"/>
  <c r="AR25" i="17"/>
  <c r="AR15" i="17"/>
  <c r="AR20" i="17"/>
  <c r="AR24" i="17"/>
  <c r="AQ13" i="18"/>
  <c r="AR16" i="17"/>
  <c r="AQ25" i="18"/>
  <c r="AQ14" i="18"/>
  <c r="AR27" i="17"/>
  <c r="AR17" i="17"/>
  <c r="AR7" i="18"/>
  <c r="AR18" i="18" s="1"/>
  <c r="AQ12" i="18"/>
  <c r="AQ19" i="18"/>
  <c r="AQ20" i="18"/>
  <c r="AQ16" i="18"/>
  <c r="AQ18" i="18"/>
  <c r="AQ17" i="18"/>
  <c r="AR13" i="17"/>
  <c r="AR30" i="17"/>
  <c r="AR19" i="17"/>
  <c r="AR18" i="17"/>
  <c r="AR6" i="17"/>
  <c r="AR33" i="17"/>
  <c r="AQ22" i="18"/>
  <c r="AQ15" i="18"/>
  <c r="AR29" i="17"/>
  <c r="AR26" i="17"/>
  <c r="AQ21" i="18"/>
  <c r="AQ26" i="18"/>
  <c r="AR14" i="17"/>
  <c r="AQ23" i="18"/>
  <c r="AQ27" i="18"/>
  <c r="AR9" i="17"/>
  <c r="AQ24" i="18"/>
  <c r="AR35" i="17"/>
  <c r="AQ28" i="18"/>
  <c r="AQ29" i="18"/>
  <c r="AR12" i="17"/>
  <c r="AQ9" i="18"/>
  <c r="AQ30" i="18"/>
  <c r="AR21" i="17"/>
  <c r="AR28" i="17"/>
  <c r="AR31" i="17"/>
  <c r="AR32" i="17"/>
  <c r="AR22" i="17"/>
  <c r="AR34" i="17"/>
  <c r="AR11" i="17"/>
  <c r="AS7" i="17"/>
  <c r="AS35" i="17" s="1"/>
  <c r="AQ11" i="18"/>
  <c r="AS23" i="17" l="1"/>
  <c r="AR28" i="18"/>
  <c r="AS7" i="18"/>
  <c r="AS30" i="18" s="1"/>
  <c r="AR26" i="18"/>
  <c r="AR25" i="18"/>
  <c r="AR22" i="18"/>
  <c r="AR23" i="18"/>
  <c r="AR27" i="18"/>
  <c r="AR30" i="18"/>
  <c r="AR31" i="18"/>
  <c r="AR32" i="18"/>
  <c r="AS26" i="17"/>
  <c r="AS22" i="17"/>
  <c r="AR33" i="18"/>
  <c r="AS24" i="17"/>
  <c r="AS15" i="17"/>
  <c r="AS20" i="17"/>
  <c r="AS19" i="17"/>
  <c r="AR6" i="18"/>
  <c r="AR14" i="18"/>
  <c r="AR17" i="18"/>
  <c r="AR16" i="18"/>
  <c r="AR34" i="18"/>
  <c r="AR21" i="18"/>
  <c r="AR19" i="18"/>
  <c r="AR12" i="18"/>
  <c r="AR15" i="18"/>
  <c r="AR11" i="18"/>
  <c r="AR24" i="18"/>
  <c r="AR29" i="18"/>
  <c r="AS11" i="17"/>
  <c r="AS21" i="17"/>
  <c r="AR20" i="18"/>
  <c r="AR9" i="18"/>
  <c r="AR35" i="18"/>
  <c r="AR13" i="18"/>
  <c r="AS9" i="17"/>
  <c r="AT7" i="17"/>
  <c r="AT13" i="17" s="1"/>
  <c r="AS34" i="17"/>
  <c r="AS27" i="17"/>
  <c r="AS12" i="17"/>
  <c r="AS29" i="17"/>
  <c r="AS16" i="17"/>
  <c r="AS25" i="17"/>
  <c r="AS32" i="17"/>
  <c r="AS13" i="17"/>
  <c r="AS17" i="17"/>
  <c r="AS28" i="17"/>
  <c r="AS31" i="17"/>
  <c r="AS18" i="17"/>
  <c r="AS33" i="17"/>
  <c r="AS30" i="17"/>
  <c r="AS14" i="17"/>
  <c r="AS35" i="18"/>
  <c r="AS33" i="18"/>
  <c r="AS31" i="18"/>
  <c r="AS26" i="18"/>
  <c r="AS25" i="18"/>
  <c r="AS34" i="18"/>
  <c r="AS32" i="18"/>
  <c r="AS13" i="18" l="1"/>
  <c r="AT7" i="18"/>
  <c r="AT22" i="18" s="1"/>
  <c r="AS12" i="18"/>
  <c r="AS9" i="18"/>
  <c r="AS11" i="18"/>
  <c r="AS15" i="18"/>
  <c r="AS20" i="18"/>
  <c r="AS16" i="18"/>
  <c r="AS22" i="18"/>
  <c r="AS17" i="18"/>
  <c r="AS21" i="18"/>
  <c r="AS23" i="18"/>
  <c r="AS18" i="18"/>
  <c r="AS27" i="18"/>
  <c r="AS14" i="18"/>
  <c r="AS24" i="18"/>
  <c r="AS19" i="18"/>
  <c r="AS28" i="18"/>
  <c r="AS29" i="18"/>
  <c r="AT14" i="17"/>
  <c r="AT25" i="17"/>
  <c r="AT18" i="17"/>
  <c r="AT27" i="17"/>
  <c r="AT11" i="17"/>
  <c r="AT31" i="17"/>
  <c r="AT22" i="17"/>
  <c r="AT23" i="17"/>
  <c r="AT19" i="17"/>
  <c r="AT24" i="17"/>
  <c r="AT28" i="17"/>
  <c r="AT29" i="17"/>
  <c r="AT15" i="17"/>
  <c r="AT9" i="17"/>
  <c r="AT33" i="17"/>
  <c r="AT26" i="17"/>
  <c r="AU7" i="17"/>
  <c r="AU29" i="17" s="1"/>
  <c r="AT32" i="17"/>
  <c r="AT34" i="17"/>
  <c r="AT17" i="17"/>
  <c r="AT35" i="17"/>
  <c r="AT20" i="17"/>
  <c r="AT21" i="17"/>
  <c r="AT30" i="17"/>
  <c r="AT12" i="17"/>
  <c r="AT16" i="17"/>
  <c r="AT23" i="18" l="1"/>
  <c r="AT13" i="18"/>
  <c r="AT26" i="18"/>
  <c r="AT24" i="18"/>
  <c r="AT30" i="18"/>
  <c r="AT31" i="18"/>
  <c r="AT32" i="18"/>
  <c r="AT33" i="18"/>
  <c r="AT34" i="18"/>
  <c r="AT18" i="18"/>
  <c r="AT27" i="18"/>
  <c r="AT28" i="18"/>
  <c r="AT29" i="18"/>
  <c r="AT25" i="18"/>
  <c r="AT35" i="18"/>
  <c r="AT9" i="18"/>
  <c r="AT11" i="18"/>
  <c r="AT12" i="18"/>
  <c r="AU7" i="18"/>
  <c r="AU30" i="18" s="1"/>
  <c r="AT14" i="18"/>
  <c r="AT19" i="18"/>
  <c r="AT16" i="18"/>
  <c r="AT15" i="18"/>
  <c r="AT20" i="18"/>
  <c r="AT17" i="18"/>
  <c r="AT21" i="18"/>
  <c r="AU14" i="17"/>
  <c r="AU9" i="17"/>
  <c r="AU27" i="17"/>
  <c r="AV7" i="17"/>
  <c r="AV27" i="17" s="1"/>
  <c r="AU30" i="17"/>
  <c r="AU26" i="17"/>
  <c r="AU32" i="17"/>
  <c r="AU11" i="17"/>
  <c r="AU31" i="17"/>
  <c r="AU15" i="17"/>
  <c r="AU33" i="17"/>
  <c r="AU24" i="17"/>
  <c r="AU13" i="17"/>
  <c r="AU20" i="17"/>
  <c r="AU25" i="17"/>
  <c r="AU12" i="17"/>
  <c r="AU34" i="17"/>
  <c r="AU17" i="17"/>
  <c r="AU21" i="17"/>
  <c r="AU22" i="17"/>
  <c r="AU23" i="17"/>
  <c r="AU19" i="17"/>
  <c r="AU35" i="17"/>
  <c r="AU28" i="17"/>
  <c r="AU16" i="17"/>
  <c r="AU18" i="17"/>
  <c r="AU33" i="18" l="1"/>
  <c r="AU34" i="18"/>
  <c r="AU35" i="18"/>
  <c r="AU18" i="18"/>
  <c r="AU13" i="18"/>
  <c r="AU15" i="18"/>
  <c r="AU11" i="18"/>
  <c r="AV7" i="18"/>
  <c r="AV24" i="18" s="1"/>
  <c r="AU12" i="18"/>
  <c r="AU19" i="18"/>
  <c r="AU14" i="18"/>
  <c r="AU25" i="18"/>
  <c r="AU17" i="18"/>
  <c r="AU20" i="18"/>
  <c r="AU16" i="18"/>
  <c r="AU21" i="18"/>
  <c r="AU26" i="18"/>
  <c r="AU23" i="18"/>
  <c r="AU22" i="18"/>
  <c r="AU27" i="18"/>
  <c r="AU24" i="18"/>
  <c r="AU32" i="18"/>
  <c r="AU28" i="18"/>
  <c r="AU31" i="18"/>
  <c r="AU29" i="18"/>
  <c r="AU9" i="18"/>
  <c r="AV35" i="17"/>
  <c r="AV34" i="17"/>
  <c r="AV33" i="17"/>
  <c r="AV32" i="17"/>
  <c r="AV31" i="17"/>
  <c r="AV30" i="17"/>
  <c r="AV26" i="17"/>
  <c r="AV9" i="17"/>
  <c r="AV13" i="17"/>
  <c r="AV23" i="17"/>
  <c r="AV14" i="17"/>
  <c r="AV11" i="17"/>
  <c r="AV18" i="17"/>
  <c r="AV22" i="17"/>
  <c r="AW7" i="17"/>
  <c r="AW9" i="17" s="1"/>
  <c r="AV12" i="17"/>
  <c r="AV19" i="17"/>
  <c r="AV24" i="17"/>
  <c r="AV15" i="17"/>
  <c r="AV20" i="17"/>
  <c r="AV16" i="17"/>
  <c r="AV17" i="17"/>
  <c r="AV21" i="17"/>
  <c r="AV28" i="17"/>
  <c r="AV25" i="17"/>
  <c r="AV29" i="17"/>
  <c r="AV30" i="18" l="1"/>
  <c r="AV34" i="18"/>
  <c r="AV31" i="18"/>
  <c r="AV35" i="18"/>
  <c r="AV23" i="18"/>
  <c r="AV27" i="18"/>
  <c r="AV32" i="18"/>
  <c r="AV33" i="18"/>
  <c r="AV25" i="18"/>
  <c r="AV26" i="18"/>
  <c r="AV22" i="18"/>
  <c r="AV12" i="18"/>
  <c r="AV16" i="18"/>
  <c r="AV13" i="18"/>
  <c r="AV17" i="18"/>
  <c r="AV28" i="18"/>
  <c r="AW7" i="18"/>
  <c r="AW15" i="18" s="1"/>
  <c r="AV11" i="18"/>
  <c r="AV9" i="18"/>
  <c r="AV14" i="18"/>
  <c r="AV18" i="18"/>
  <c r="AV21" i="18"/>
  <c r="AV19" i="18"/>
  <c r="AV29" i="18"/>
  <c r="AV15" i="18"/>
  <c r="AV20" i="18"/>
  <c r="AW18" i="17"/>
  <c r="AW22" i="17"/>
  <c r="AW23" i="17"/>
  <c r="AW26" i="17"/>
  <c r="AW24" i="17"/>
  <c r="AW31" i="17"/>
  <c r="AW19" i="17"/>
  <c r="AW15" i="17"/>
  <c r="AW20" i="17"/>
  <c r="AW35" i="17"/>
  <c r="AW27" i="17"/>
  <c r="AW28" i="17"/>
  <c r="AW29" i="17"/>
  <c r="AW32" i="17"/>
  <c r="AW30" i="17"/>
  <c r="AX7" i="17"/>
  <c r="AX35" i="17" s="1"/>
  <c r="AW12" i="17"/>
  <c r="AW13" i="17"/>
  <c r="AW21" i="17"/>
  <c r="AW34" i="17"/>
  <c r="AW14" i="17"/>
  <c r="AW16" i="17"/>
  <c r="AW17" i="17"/>
  <c r="AW11" i="17"/>
  <c r="AW33" i="17"/>
  <c r="AW25" i="17"/>
  <c r="AW9" i="18" l="1"/>
  <c r="AX7" i="18"/>
  <c r="AX28" i="18" s="1"/>
  <c r="AW12" i="18"/>
  <c r="AW13" i="18"/>
  <c r="AW16" i="18"/>
  <c r="AW17" i="18"/>
  <c r="AW31" i="18"/>
  <c r="AW18" i="18"/>
  <c r="AW21" i="18"/>
  <c r="AW27" i="18"/>
  <c r="AW14" i="18"/>
  <c r="AW19" i="18"/>
  <c r="AW22" i="18"/>
  <c r="AW23" i="18"/>
  <c r="AW35" i="18"/>
  <c r="AW29" i="18"/>
  <c r="AW28" i="18"/>
  <c r="AW25" i="18"/>
  <c r="AW32" i="18"/>
  <c r="AW30" i="18"/>
  <c r="AW20" i="18"/>
  <c r="AW24" i="18"/>
  <c r="AW33" i="18"/>
  <c r="AW34" i="18"/>
  <c r="AW11" i="18"/>
  <c r="AW26" i="18"/>
  <c r="AY7" i="17"/>
  <c r="AY23" i="17" s="1"/>
  <c r="AX20" i="17"/>
  <c r="AX14" i="17"/>
  <c r="AX16" i="17"/>
  <c r="AX21" i="17"/>
  <c r="AX18" i="17"/>
  <c r="AX17" i="17"/>
  <c r="AX23" i="17"/>
  <c r="AX22" i="17"/>
  <c r="AX19" i="17"/>
  <c r="AX24" i="17"/>
  <c r="AX26" i="17"/>
  <c r="AX27" i="17"/>
  <c r="AX28" i="17"/>
  <c r="AX29" i="17"/>
  <c r="AX30" i="17"/>
  <c r="AX32" i="17"/>
  <c r="AX9" i="17"/>
  <c r="AX31" i="17"/>
  <c r="AX11" i="17"/>
  <c r="AX25" i="17"/>
  <c r="AX12" i="17"/>
  <c r="AX33" i="17"/>
  <c r="AX13" i="17"/>
  <c r="AX34" i="17"/>
  <c r="AX15" i="17"/>
  <c r="AX29" i="18" l="1"/>
  <c r="AX30" i="18"/>
  <c r="AX16" i="18"/>
  <c r="AX25" i="18"/>
  <c r="AX31" i="18"/>
  <c r="AX32" i="18"/>
  <c r="AX33" i="18"/>
  <c r="AX34" i="18"/>
  <c r="AX35" i="18"/>
  <c r="AX14" i="18"/>
  <c r="AX9" i="18"/>
  <c r="AX11" i="18"/>
  <c r="AX22" i="18"/>
  <c r="AY7" i="18"/>
  <c r="AY14" i="18" s="1"/>
  <c r="AX12" i="18"/>
  <c r="AX23" i="18"/>
  <c r="AX26" i="18"/>
  <c r="AX19" i="18"/>
  <c r="AX15" i="18"/>
  <c r="AX21" i="18"/>
  <c r="AX13" i="18"/>
  <c r="AX20" i="18"/>
  <c r="AX17" i="18"/>
  <c r="AX18" i="18"/>
  <c r="AX27" i="18"/>
  <c r="AX24" i="18"/>
  <c r="AY30" i="17"/>
  <c r="AY33" i="17"/>
  <c r="AY26" i="17"/>
  <c r="AY27" i="17"/>
  <c r="AY31" i="17"/>
  <c r="AY34" i="17"/>
  <c r="AY32" i="17"/>
  <c r="AY35" i="17"/>
  <c r="AY14" i="17"/>
  <c r="AY19" i="17"/>
  <c r="AY6" i="17"/>
  <c r="AY9" i="17"/>
  <c r="AY11" i="17"/>
  <c r="AZ7" i="17"/>
  <c r="BA7" i="17" s="1"/>
  <c r="AY13" i="17"/>
  <c r="AY12" i="17"/>
  <c r="AY29" i="17"/>
  <c r="AY15" i="17"/>
  <c r="AY20" i="17"/>
  <c r="AY16" i="17"/>
  <c r="AY24" i="17"/>
  <c r="AY21" i="17"/>
  <c r="AY25" i="17"/>
  <c r="AY17" i="17"/>
  <c r="AY28" i="17"/>
  <c r="AY18" i="17"/>
  <c r="AY22" i="17"/>
  <c r="AY23" i="18" l="1"/>
  <c r="AY24" i="18"/>
  <c r="AY28" i="18"/>
  <c r="AY27" i="18"/>
  <c r="AY29" i="18"/>
  <c r="AY30" i="18"/>
  <c r="AY31" i="18"/>
  <c r="AY22" i="18"/>
  <c r="AY17" i="18"/>
  <c r="AY21" i="18"/>
  <c r="AY32" i="18"/>
  <c r="AY16" i="18"/>
  <c r="AY26" i="18"/>
  <c r="AY33" i="18"/>
  <c r="AY34" i="18"/>
  <c r="AY35" i="18"/>
  <c r="AY25" i="18"/>
  <c r="AY15" i="18"/>
  <c r="AY18" i="18"/>
  <c r="AY6" i="18"/>
  <c r="AY13" i="18"/>
  <c r="AY9" i="18"/>
  <c r="AY11" i="18"/>
  <c r="AY20" i="18"/>
  <c r="AZ7" i="18"/>
  <c r="AZ26" i="18" s="1"/>
  <c r="AY12" i="18"/>
  <c r="AY19" i="18"/>
  <c r="AZ12" i="17"/>
  <c r="AZ25" i="17"/>
  <c r="AZ22" i="17"/>
  <c r="AZ29" i="17"/>
  <c r="AZ24" i="17"/>
  <c r="AZ18" i="17"/>
  <c r="AZ13" i="17"/>
  <c r="AZ17" i="17"/>
  <c r="AZ30" i="17"/>
  <c r="AZ27" i="17"/>
  <c r="AZ16" i="17"/>
  <c r="AZ21" i="17"/>
  <c r="AZ26" i="17"/>
  <c r="AZ19" i="17"/>
  <c r="AZ33" i="17"/>
  <c r="AZ28" i="17"/>
  <c r="AZ14" i="17"/>
  <c r="AZ32" i="17"/>
  <c r="AZ9" i="17"/>
  <c r="AZ34" i="17"/>
  <c r="AZ35" i="17"/>
  <c r="AZ15" i="17"/>
  <c r="AZ20" i="17"/>
  <c r="AZ31" i="17"/>
  <c r="AZ23" i="17"/>
  <c r="AZ11" i="17"/>
  <c r="BA34" i="17"/>
  <c r="BA32" i="17"/>
  <c r="BA30" i="17"/>
  <c r="BA25" i="17"/>
  <c r="BA29" i="17"/>
  <c r="BA28" i="17"/>
  <c r="BA35" i="17"/>
  <c r="BA33" i="17"/>
  <c r="BA31" i="17"/>
  <c r="BA27" i="17"/>
  <c r="BA20" i="17"/>
  <c r="BA15" i="17"/>
  <c r="BA26" i="17"/>
  <c r="BA24" i="17"/>
  <c r="BA19" i="17"/>
  <c r="BA23" i="17"/>
  <c r="BA22" i="17"/>
  <c r="BA11" i="17"/>
  <c r="BA9" i="17"/>
  <c r="BA14" i="17"/>
  <c r="BA21" i="17"/>
  <c r="BA18" i="17"/>
  <c r="BA13" i="17"/>
  <c r="BA17" i="17"/>
  <c r="BB7" i="17"/>
  <c r="BA12" i="17"/>
  <c r="BA16" i="17"/>
  <c r="AZ34" i="18" l="1"/>
  <c r="AZ35" i="18"/>
  <c r="AZ33" i="18"/>
  <c r="AZ13" i="18"/>
  <c r="AZ14" i="18"/>
  <c r="BA7" i="18"/>
  <c r="BA17" i="18" s="1"/>
  <c r="AZ12" i="18"/>
  <c r="AZ16" i="18"/>
  <c r="AZ9" i="18"/>
  <c r="AZ32" i="18"/>
  <c r="AZ11" i="18"/>
  <c r="AZ18" i="18"/>
  <c r="AZ24" i="18"/>
  <c r="AZ17" i="18"/>
  <c r="AZ28" i="18"/>
  <c r="AZ30" i="18"/>
  <c r="AZ31" i="18"/>
  <c r="AZ15" i="18"/>
  <c r="AZ19" i="18"/>
  <c r="AZ20" i="18"/>
  <c r="AZ29" i="18"/>
  <c r="AZ27" i="18"/>
  <c r="AZ25" i="18"/>
  <c r="AZ21" i="18"/>
  <c r="AZ22" i="18"/>
  <c r="AZ23" i="18"/>
  <c r="BA25" i="18"/>
  <c r="BA35" i="18"/>
  <c r="BA33" i="18"/>
  <c r="BA31" i="18"/>
  <c r="BA29" i="18"/>
  <c r="BA28" i="18"/>
  <c r="BA27" i="18"/>
  <c r="BA19" i="18"/>
  <c r="BA14" i="18"/>
  <c r="BA24" i="18"/>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B11" i="17"/>
  <c r="BB15" i="17"/>
  <c r="BB9" i="17"/>
  <c r="BA26" i="18" l="1"/>
  <c r="BA30" i="18"/>
  <c r="BA32" i="18"/>
  <c r="BA34" i="18"/>
  <c r="BA23" i="18"/>
  <c r="BB7" i="18"/>
  <c r="BB27" i="18" s="1"/>
  <c r="BA12" i="18"/>
  <c r="BA18" i="18"/>
  <c r="BA11" i="18"/>
  <c r="BA13" i="18"/>
  <c r="BA20" i="18"/>
  <c r="BA15" i="18"/>
  <c r="BA22" i="18"/>
  <c r="BA9" i="18"/>
  <c r="BA21" i="18"/>
  <c r="BA16" i="18"/>
  <c r="BC35" i="17"/>
  <c r="BC34" i="17"/>
  <c r="BC33" i="17"/>
  <c r="BC32" i="17"/>
  <c r="BC31" i="17"/>
  <c r="BC30" i="17"/>
  <c r="BC27" i="17"/>
  <c r="BC26" i="17"/>
  <c r="BC28" i="17"/>
  <c r="BC23" i="17"/>
  <c r="BC22" i="17"/>
  <c r="BC18" i="17"/>
  <c r="BC21" i="17"/>
  <c r="BC17" i="17"/>
  <c r="BC16" i="17"/>
  <c r="BC29" i="17"/>
  <c r="BC20" i="17"/>
  <c r="BC13" i="17"/>
  <c r="BC19" i="17"/>
  <c r="BC12" i="17"/>
  <c r="BD7" i="17"/>
  <c r="BC25" i="17"/>
  <c r="BC15" i="17"/>
  <c r="BC11" i="17"/>
  <c r="BC9" i="17"/>
  <c r="BC24" i="17"/>
  <c r="BC14" i="17"/>
  <c r="BB25" i="18" l="1"/>
  <c r="BB11" i="18"/>
  <c r="BB24" i="18"/>
  <c r="BB28" i="18"/>
  <c r="BB29" i="18"/>
  <c r="BB31" i="18"/>
  <c r="BC7" i="18"/>
  <c r="BC21" i="18" s="1"/>
  <c r="BB32" i="18"/>
  <c r="BB12" i="18"/>
  <c r="BB35" i="18"/>
  <c r="BB20" i="18"/>
  <c r="BB21" i="18"/>
  <c r="BB26" i="18"/>
  <c r="BB17" i="18"/>
  <c r="BB23" i="18"/>
  <c r="BB9" i="18"/>
  <c r="BB30" i="18"/>
  <c r="BB19" i="18"/>
  <c r="BB33" i="18"/>
  <c r="BB14" i="18"/>
  <c r="BB34" i="18"/>
  <c r="BB16" i="18"/>
  <c r="BB15" i="18"/>
  <c r="BB22" i="18"/>
  <c r="BB13" i="18"/>
  <c r="BB18" i="18"/>
  <c r="BD35" i="17"/>
  <c r="BD34" i="17"/>
  <c r="BD33" i="17"/>
  <c r="BD32" i="17"/>
  <c r="BD31" i="17"/>
  <c r="BD30" i="17"/>
  <c r="BD26" i="17"/>
  <c r="BD29" i="17"/>
  <c r="BD28" i="17"/>
  <c r="BD21" i="17"/>
  <c r="BD17" i="17"/>
  <c r="BD16" i="17"/>
  <c r="BD20" i="17"/>
  <c r="BD15" i="17"/>
  <c r="BD27" i="17"/>
  <c r="BD25" i="17"/>
  <c r="BD24" i="17"/>
  <c r="BD19" i="17"/>
  <c r="BD12" i="17"/>
  <c r="BE7" i="17"/>
  <c r="BD23" i="17"/>
  <c r="BD18" i="17"/>
  <c r="BD11" i="17"/>
  <c r="BD9" i="17"/>
  <c r="BD22" i="17"/>
  <c r="BD14" i="17"/>
  <c r="BD13" i="17"/>
  <c r="BC25" i="18" l="1"/>
  <c r="BC26" i="18"/>
  <c r="BC22" i="18"/>
  <c r="BC27" i="18"/>
  <c r="BC23" i="18"/>
  <c r="BC24" i="18"/>
  <c r="BC28" i="18"/>
  <c r="BC29" i="18"/>
  <c r="BC30" i="18"/>
  <c r="BC31" i="18"/>
  <c r="BC32" i="18"/>
  <c r="BC33" i="18"/>
  <c r="BC34" i="18"/>
  <c r="BC35" i="18"/>
  <c r="BC9" i="18"/>
  <c r="BC11" i="18"/>
  <c r="BC18" i="18"/>
  <c r="BC15" i="18"/>
  <c r="BC16" i="18"/>
  <c r="BD7" i="18"/>
  <c r="BD25" i="18" s="1"/>
  <c r="BC12" i="18"/>
  <c r="BC13" i="18"/>
  <c r="BC17" i="18"/>
  <c r="BC14" i="18"/>
  <c r="BC19" i="18"/>
  <c r="BC20" i="18"/>
  <c r="BE25" i="17"/>
  <c r="BE35" i="17"/>
  <c r="BE33" i="17"/>
  <c r="BE31" i="17"/>
  <c r="BE29" i="17"/>
  <c r="BE28" i="17"/>
  <c r="BE27" i="17"/>
  <c r="BE26" i="17"/>
  <c r="BE20" i="17"/>
  <c r="BE15" i="17"/>
  <c r="BE30" i="17"/>
  <c r="BE24" i="17"/>
  <c r="BE19" i="17"/>
  <c r="BE32" i="17"/>
  <c r="BE23" i="17"/>
  <c r="BE22" i="17"/>
  <c r="BE34" i="17"/>
  <c r="BE18" i="17"/>
  <c r="BE11" i="17"/>
  <c r="BE9" i="17"/>
  <c r="BE21" i="17"/>
  <c r="BE17" i="17"/>
  <c r="BE16" i="17"/>
  <c r="BE14" i="17"/>
  <c r="BE13" i="17"/>
  <c r="BF7" i="17"/>
  <c r="BE12" i="17"/>
  <c r="BD35" i="18" l="1"/>
  <c r="BD34" i="18"/>
  <c r="BD33" i="18"/>
  <c r="BD32" i="18"/>
  <c r="BD31" i="18"/>
  <c r="BD27" i="18"/>
  <c r="BD30" i="18"/>
  <c r="BD23" i="18"/>
  <c r="BE7" i="18"/>
  <c r="BE21" i="18" s="1"/>
  <c r="BD16" i="18"/>
  <c r="BD13" i="18"/>
  <c r="BD9" i="18"/>
  <c r="BD17" i="18"/>
  <c r="BD29" i="18"/>
  <c r="BD12" i="18"/>
  <c r="BD11" i="18"/>
  <c r="BD14" i="18"/>
  <c r="BD18" i="18"/>
  <c r="BD19" i="18"/>
  <c r="BD15" i="18"/>
  <c r="BD20" i="18"/>
  <c r="BD21" i="18"/>
  <c r="BD26" i="18"/>
  <c r="BD28" i="18"/>
  <c r="BD22" i="18"/>
  <c r="BD24"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F20" i="17"/>
  <c r="BF11" i="17"/>
  <c r="BF9" i="17"/>
  <c r="BE15" i="18" l="1"/>
  <c r="BE27" i="18"/>
  <c r="BE20" i="18"/>
  <c r="BE34" i="18"/>
  <c r="BE16" i="18"/>
  <c r="BE17" i="18"/>
  <c r="BE30" i="18"/>
  <c r="BE32" i="18"/>
  <c r="BE14" i="18"/>
  <c r="BE18" i="18"/>
  <c r="BE19" i="18"/>
  <c r="BE22" i="18"/>
  <c r="BE23" i="18"/>
  <c r="BE28" i="18"/>
  <c r="BE31" i="18"/>
  <c r="BE29" i="18"/>
  <c r="BE25" i="18"/>
  <c r="BE33" i="18"/>
  <c r="BE35" i="18"/>
  <c r="BE12" i="18"/>
  <c r="BF7" i="18"/>
  <c r="BF21" i="18" s="1"/>
  <c r="BE11" i="18"/>
  <c r="BE13" i="18"/>
  <c r="BE9" i="18"/>
  <c r="BE26" i="18"/>
  <c r="BE24" i="18"/>
  <c r="BG35" i="17"/>
  <c r="BG34" i="17"/>
  <c r="BG33" i="17"/>
  <c r="BG32" i="17"/>
  <c r="BG31" i="17"/>
  <c r="BG30" i="17"/>
  <c r="BG27" i="17"/>
  <c r="BG26" i="17"/>
  <c r="BG25" i="17"/>
  <c r="BG23" i="17"/>
  <c r="BG22" i="17"/>
  <c r="BG18" i="17"/>
  <c r="BG29" i="17"/>
  <c r="BG21" i="17"/>
  <c r="BG17" i="17"/>
  <c r="BG16" i="17"/>
  <c r="BG20" i="17"/>
  <c r="BG28" i="17"/>
  <c r="BG15" i="17"/>
  <c r="BG13" i="17"/>
  <c r="BG12" i="17"/>
  <c r="BH7" i="17"/>
  <c r="BG19" i="17"/>
  <c r="BG24" i="17"/>
  <c r="BG11" i="17"/>
  <c r="BG9" i="17"/>
  <c r="BG14" i="17"/>
  <c r="BF35" i="18" l="1"/>
  <c r="BF34" i="18"/>
  <c r="BF31" i="18"/>
  <c r="BF32" i="18"/>
  <c r="BF33" i="18"/>
  <c r="BF14" i="18"/>
  <c r="BF9" i="18"/>
  <c r="BF11" i="18"/>
  <c r="BF16" i="18"/>
  <c r="BF19" i="18"/>
  <c r="BF25" i="18"/>
  <c r="BF30" i="18"/>
  <c r="BF6" i="18"/>
  <c r="BF23" i="18"/>
  <c r="BG7" i="18"/>
  <c r="BG18" i="18" s="1"/>
  <c r="BF15" i="18"/>
  <c r="BF12" i="18"/>
  <c r="BF22" i="18"/>
  <c r="BF29" i="18"/>
  <c r="BF27" i="18"/>
  <c r="BF20" i="18"/>
  <c r="BF17" i="18"/>
  <c r="BF24" i="18"/>
  <c r="BF28" i="18"/>
  <c r="BF26" i="18"/>
  <c r="BF13" i="18"/>
  <c r="BF18" i="18"/>
  <c r="BH35" i="17"/>
  <c r="BH34" i="17"/>
  <c r="BH33" i="17"/>
  <c r="BH32" i="17"/>
  <c r="BH31" i="17"/>
  <c r="BH30" i="17"/>
  <c r="BH26" i="17"/>
  <c r="BH29" i="17"/>
  <c r="BH28" i="17"/>
  <c r="BH21" i="17"/>
  <c r="BH17" i="17"/>
  <c r="BH16" i="17"/>
  <c r="BH27" i="17"/>
  <c r="BH20" i="17"/>
  <c r="BH15" i="17"/>
  <c r="BH24" i="17"/>
  <c r="BH23" i="17"/>
  <c r="BH12" i="17"/>
  <c r="BI7" i="17"/>
  <c r="BH25" i="17"/>
  <c r="BH11" i="17"/>
  <c r="BH9" i="17"/>
  <c r="BH22" i="17"/>
  <c r="BH19" i="17"/>
  <c r="BH14" i="17"/>
  <c r="BH18" i="17"/>
  <c r="BH13" i="17"/>
  <c r="BG16" i="18" l="1"/>
  <c r="BG14" i="18"/>
  <c r="BG19" i="18"/>
  <c r="BG20" i="18"/>
  <c r="BG23" i="18"/>
  <c r="BG24" i="18"/>
  <c r="BG29" i="18"/>
  <c r="BG27" i="18"/>
  <c r="BG28" i="18"/>
  <c r="BG17" i="18"/>
  <c r="BG26" i="18"/>
  <c r="BG22" i="18"/>
  <c r="BG11" i="18"/>
  <c r="BG13" i="18"/>
  <c r="BG34" i="18"/>
  <c r="BG15" i="18"/>
  <c r="BG21" i="18"/>
  <c r="BG30" i="18"/>
  <c r="BG31" i="18"/>
  <c r="BG33" i="18"/>
  <c r="BG25" i="18"/>
  <c r="BG9" i="18"/>
  <c r="BG32" i="18"/>
  <c r="BH7" i="18"/>
  <c r="BH27" i="18" s="1"/>
  <c r="BG35" i="18"/>
  <c r="BG12" i="18"/>
  <c r="BI35" i="17"/>
  <c r="BI33" i="17"/>
  <c r="BI31" i="17"/>
  <c r="BI25" i="17"/>
  <c r="BI29" i="17"/>
  <c r="BI28" i="17"/>
  <c r="BI34" i="17"/>
  <c r="BI32" i="17"/>
  <c r="BI30" i="17"/>
  <c r="BI27" i="17"/>
  <c r="BI20" i="17"/>
  <c r="BI15" i="17"/>
  <c r="BI24" i="17"/>
  <c r="BI19" i="17"/>
  <c r="BI23" i="17"/>
  <c r="BI22" i="17"/>
  <c r="BI21" i="17"/>
  <c r="BI11" i="17"/>
  <c r="BI9" i="17"/>
  <c r="BI14" i="17"/>
  <c r="BI18" i="17"/>
  <c r="BI13" i="17"/>
  <c r="BI26" i="17"/>
  <c r="BI12" i="17"/>
  <c r="BI17" i="17"/>
  <c r="BI16" i="17"/>
  <c r="BJ7" i="17"/>
  <c r="BI7" i="18" l="1"/>
  <c r="BI27" i="18" s="1"/>
  <c r="BH9" i="18"/>
  <c r="BH24" i="18"/>
  <c r="BH31" i="18"/>
  <c r="BH17" i="18"/>
  <c r="BH13" i="18"/>
  <c r="BH34" i="18"/>
  <c r="BH14" i="18"/>
  <c r="BH30" i="18"/>
  <c r="BH33" i="18"/>
  <c r="BH35" i="18"/>
  <c r="BH16" i="18"/>
  <c r="BH11" i="18"/>
  <c r="BH32" i="18"/>
  <c r="BH18" i="18"/>
  <c r="BH25" i="18"/>
  <c r="BH26" i="18"/>
  <c r="BH15" i="18"/>
  <c r="BH28" i="18"/>
  <c r="BH29" i="18"/>
  <c r="BH19" i="18"/>
  <c r="BH20" i="18"/>
  <c r="BH21" i="18"/>
  <c r="BH22" i="18"/>
  <c r="BH23" i="18"/>
  <c r="BH12" i="18"/>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9" i="17"/>
  <c r="BJ11" i="17"/>
  <c r="BI24" i="18" l="1"/>
  <c r="BI29" i="18"/>
  <c r="BI34" i="18"/>
  <c r="BI26" i="18"/>
  <c r="BI21" i="18"/>
  <c r="BI20" i="18"/>
  <c r="BI13" i="18"/>
  <c r="BI18" i="18"/>
  <c r="BI14" i="18"/>
  <c r="BI19" i="18"/>
  <c r="BI28" i="18"/>
  <c r="BI9" i="18"/>
  <c r="BI22" i="18"/>
  <c r="BI32" i="18"/>
  <c r="BJ7" i="18"/>
  <c r="BJ23" i="18" s="1"/>
  <c r="BI33" i="18"/>
  <c r="BI16" i="18"/>
  <c r="BI17" i="18"/>
  <c r="BI23" i="18"/>
  <c r="BI30" i="18"/>
  <c r="BI12" i="18"/>
  <c r="BI25" i="18"/>
  <c r="BI11" i="18"/>
  <c r="BI15" i="18"/>
  <c r="BI31" i="18"/>
  <c r="BI35" i="18"/>
  <c r="BK35" i="17"/>
  <c r="BK34" i="17"/>
  <c r="BK33" i="17"/>
  <c r="BK32" i="17"/>
  <c r="BK31" i="17"/>
  <c r="BK30" i="17"/>
  <c r="BK29" i="17"/>
  <c r="BK27" i="17"/>
  <c r="BK26" i="17"/>
  <c r="BK23" i="17"/>
  <c r="BK22" i="17"/>
  <c r="BK18" i="17"/>
  <c r="BK25" i="17"/>
  <c r="BK21" i="17"/>
  <c r="BK17" i="17"/>
  <c r="BK16" i="17"/>
  <c r="BK28" i="17"/>
  <c r="BK20" i="17"/>
  <c r="BK13" i="17"/>
  <c r="BK24" i="17"/>
  <c r="BK19" i="17"/>
  <c r="BK12" i="17"/>
  <c r="BL7" i="17"/>
  <c r="BK15" i="17"/>
  <c r="BK11" i="17"/>
  <c r="BK9" i="17"/>
  <c r="BK14" i="17"/>
  <c r="BJ13" i="18" l="1"/>
  <c r="BJ18" i="18"/>
  <c r="BJ27" i="18"/>
  <c r="BJ26" i="18"/>
  <c r="BJ24" i="18"/>
  <c r="BJ30" i="18"/>
  <c r="BJ32" i="18"/>
  <c r="BJ14" i="18"/>
  <c r="BJ25" i="18"/>
  <c r="BJ11" i="18"/>
  <c r="BJ12" i="18"/>
  <c r="BJ33" i="18"/>
  <c r="BJ35" i="18"/>
  <c r="BJ15" i="18"/>
  <c r="BJ20" i="18"/>
  <c r="BJ28" i="18"/>
  <c r="BK7" i="18"/>
  <c r="BK14" i="18" s="1"/>
  <c r="BJ29" i="18"/>
  <c r="BJ9" i="18"/>
  <c r="BJ31" i="18"/>
  <c r="BJ19" i="18"/>
  <c r="BJ34" i="18"/>
  <c r="BJ16" i="18"/>
  <c r="BJ21" i="18"/>
  <c r="BJ17" i="18"/>
  <c r="BJ22" i="18"/>
  <c r="BL35" i="17"/>
  <c r="BL34" i="17"/>
  <c r="BL33" i="17"/>
  <c r="BL32" i="17"/>
  <c r="BL31" i="17"/>
  <c r="BL30" i="17"/>
  <c r="BL29" i="17"/>
  <c r="BL26" i="17"/>
  <c r="BL28" i="17"/>
  <c r="BL27" i="17"/>
  <c r="BL25" i="17"/>
  <c r="BL21" i="17"/>
  <c r="BL17" i="17"/>
  <c r="BL16" i="17"/>
  <c r="BL20" i="17"/>
  <c r="BL15" i="17"/>
  <c r="BL24" i="17"/>
  <c r="BL19" i="17"/>
  <c r="BL12" i="17"/>
  <c r="BL22" i="17"/>
  <c r="BL18" i="17"/>
  <c r="BL11" i="17"/>
  <c r="BL9" i="17"/>
  <c r="BL23" i="17"/>
  <c r="BL14" i="17"/>
  <c r="BL13" i="17"/>
  <c r="BK21" i="18" l="1"/>
  <c r="BK19" i="18"/>
  <c r="BK20" i="18"/>
  <c r="BK16" i="18"/>
  <c r="BK26" i="18"/>
  <c r="BK22" i="18"/>
  <c r="BK23" i="18"/>
  <c r="BK25" i="18"/>
  <c r="BK17" i="18"/>
  <c r="BK27" i="18"/>
  <c r="BK13" i="18"/>
  <c r="BK29" i="18"/>
  <c r="BK28" i="18"/>
  <c r="BK18" i="18"/>
  <c r="BK30" i="18"/>
  <c r="BK9" i="18"/>
  <c r="BK11" i="18"/>
  <c r="BK32" i="18"/>
  <c r="BK33" i="18"/>
  <c r="BK35" i="18"/>
  <c r="BK24" i="18"/>
  <c r="BK31" i="18"/>
  <c r="BL7" i="18"/>
  <c r="BL31" i="18" s="1"/>
  <c r="BK12" i="18"/>
  <c r="BK34" i="18"/>
  <c r="BK15" i="18"/>
  <c r="BL14" i="18" l="1"/>
  <c r="BL28" i="18"/>
  <c r="BL18" i="18"/>
  <c r="BL19" i="18"/>
  <c r="BL17" i="18"/>
  <c r="BL16" i="18"/>
  <c r="BL9" i="18"/>
  <c r="BL11" i="18"/>
  <c r="BL32" i="18"/>
  <c r="BL33" i="18"/>
  <c r="BL34" i="18"/>
  <c r="BL35" i="18"/>
  <c r="BL15" i="18"/>
  <c r="BL20" i="18"/>
  <c r="BL25" i="18"/>
  <c r="BL24" i="18"/>
  <c r="BL21" i="18"/>
  <c r="BL26" i="18"/>
  <c r="BL27" i="18"/>
  <c r="BL22" i="18"/>
  <c r="BL23" i="18"/>
  <c r="BL29" i="18"/>
  <c r="BL12" i="18"/>
  <c r="BL30" i="18"/>
  <c r="BL13" i="18"/>
  <c r="F12" i="16"/>
  <c r="F26" i="16" l="1"/>
  <c r="F27" i="16" s="1"/>
  <c r="F28" i="16" s="1"/>
  <c r="F29" i="16" s="1"/>
  <c r="F31" i="16"/>
  <c r="F32" i="16" s="1"/>
  <c r="F33" i="16" s="1"/>
  <c r="F35" i="16"/>
  <c r="F34" i="16" l="1"/>
  <c r="F37" i="16" s="1"/>
  <c r="F38" i="16" s="1"/>
  <c r="F39" i="16" s="1"/>
  <c r="I7" i="16" l="1"/>
  <c r="I26" i="16" s="1"/>
  <c r="I12" i="16" l="1"/>
  <c r="I20" i="16"/>
  <c r="I25" i="16"/>
  <c r="I34" i="16"/>
  <c r="I23" i="16"/>
  <c r="I32" i="16"/>
  <c r="I6" i="16"/>
  <c r="I13" i="16"/>
  <c r="I21" i="16"/>
  <c r="I31" i="16"/>
  <c r="I15" i="16"/>
  <c r="I16" i="16"/>
  <c r="I30" i="16"/>
  <c r="I33" i="16"/>
  <c r="I17" i="16"/>
  <c r="I9" i="16"/>
  <c r="I27" i="16"/>
  <c r="I22" i="16"/>
  <c r="I19" i="16"/>
  <c r="I28" i="16"/>
  <c r="I35" i="16"/>
  <c r="J7" i="16"/>
  <c r="J32" i="16" s="1"/>
  <c r="H11" i="16"/>
  <c r="I14" i="16"/>
  <c r="I18" i="16"/>
  <c r="I24" i="16"/>
  <c r="I29" i="16"/>
  <c r="J23" i="16" l="1"/>
  <c r="J14" i="16"/>
  <c r="I11" i="16"/>
  <c r="J29" i="16"/>
  <c r="J12" i="16"/>
  <c r="J33" i="16"/>
  <c r="J25" i="16"/>
  <c r="J20" i="16"/>
  <c r="J15" i="16"/>
  <c r="J19" i="16"/>
  <c r="J24" i="16"/>
  <c r="J26" i="16"/>
  <c r="J30" i="16"/>
  <c r="J34" i="16"/>
  <c r="J21" i="16"/>
  <c r="J17" i="16"/>
  <c r="J13" i="16"/>
  <c r="J18" i="16"/>
  <c r="J27" i="16"/>
  <c r="J31" i="16"/>
  <c r="J35" i="16"/>
  <c r="J9" i="16"/>
  <c r="K7" i="16"/>
  <c r="K34" i="16" s="1"/>
  <c r="J16" i="16"/>
  <c r="J22" i="16"/>
  <c r="J28" i="16"/>
  <c r="K31" i="16" l="1"/>
  <c r="K30" i="16"/>
  <c r="K14" i="16"/>
  <c r="K18" i="16"/>
  <c r="K20" i="16"/>
  <c r="K16" i="16"/>
  <c r="K9" i="16"/>
  <c r="L7" i="16"/>
  <c r="L33" i="16" s="1"/>
  <c r="K19" i="16"/>
  <c r="K17" i="16"/>
  <c r="K27" i="16"/>
  <c r="K32" i="16"/>
  <c r="K35" i="16"/>
  <c r="K13" i="16"/>
  <c r="J11" i="16"/>
  <c r="K12" i="16"/>
  <c r="K22" i="16"/>
  <c r="K21" i="16"/>
  <c r="K28" i="16"/>
  <c r="K33" i="16"/>
  <c r="K24" i="16"/>
  <c r="K15" i="16"/>
  <c r="K23" i="16"/>
  <c r="K25" i="16"/>
  <c r="K26" i="16"/>
  <c r="K29" i="16"/>
  <c r="L30" i="16" l="1"/>
  <c r="L34" i="16"/>
  <c r="L17" i="16"/>
  <c r="L18" i="16"/>
  <c r="L24" i="16"/>
  <c r="L12" i="16"/>
  <c r="L20" i="16"/>
  <c r="L16" i="16"/>
  <c r="L9" i="16"/>
  <c r="L19" i="16"/>
  <c r="L26" i="16"/>
  <c r="L25" i="16"/>
  <c r="L31" i="16"/>
  <c r="L35" i="16"/>
  <c r="L13" i="16"/>
  <c r="K11" i="16"/>
  <c r="L22" i="16"/>
  <c r="L23" i="16"/>
  <c r="L29" i="16"/>
  <c r="L32" i="16"/>
  <c r="M7" i="16"/>
  <c r="M33" i="16" s="1"/>
  <c r="L14" i="16"/>
  <c r="L15" i="16"/>
  <c r="L21" i="16"/>
  <c r="L28" i="16"/>
  <c r="L27" i="16"/>
  <c r="M9" i="16" l="1"/>
  <c r="M15" i="16"/>
  <c r="M25" i="16"/>
  <c r="M18" i="16"/>
  <c r="M13" i="16"/>
  <c r="N7" i="16"/>
  <c r="N35" i="16" s="1"/>
  <c r="L11" i="16"/>
  <c r="M32" i="16"/>
  <c r="M12" i="16"/>
  <c r="M17" i="16"/>
  <c r="M22" i="16"/>
  <c r="M19" i="16"/>
  <c r="M34" i="16"/>
  <c r="M23" i="16"/>
  <c r="M16" i="16"/>
  <c r="M14" i="16"/>
  <c r="M21" i="16"/>
  <c r="M24" i="16"/>
  <c r="M35" i="16"/>
  <c r="M20" i="16"/>
  <c r="M27" i="16"/>
  <c r="M29" i="16"/>
  <c r="M26" i="16"/>
  <c r="M31" i="16"/>
  <c r="M28" i="16"/>
  <c r="M30" i="16"/>
  <c r="N14" i="16" l="1"/>
  <c r="N24" i="16"/>
  <c r="N22" i="16"/>
  <c r="M11" i="16"/>
  <c r="N29" i="16"/>
  <c r="N12" i="16"/>
  <c r="N33" i="16"/>
  <c r="N9" i="16"/>
  <c r="N25" i="16"/>
  <c r="N28" i="16"/>
  <c r="O7" i="16"/>
  <c r="O34" i="16" s="1"/>
  <c r="N18" i="16"/>
  <c r="N32" i="16"/>
  <c r="N17" i="16"/>
  <c r="N15" i="16"/>
  <c r="N16" i="16"/>
  <c r="N26" i="16"/>
  <c r="N23" i="16"/>
  <c r="N30" i="16"/>
  <c r="N34" i="16"/>
  <c r="N19" i="16"/>
  <c r="N20" i="16"/>
  <c r="N13" i="16"/>
  <c r="N21" i="16"/>
  <c r="N27" i="16"/>
  <c r="N31" i="16"/>
  <c r="O35" i="16" l="1"/>
  <c r="O22" i="16"/>
  <c r="O16" i="16"/>
  <c r="O9" i="16"/>
  <c r="O27" i="16"/>
  <c r="O23" i="16"/>
  <c r="O31" i="16"/>
  <c r="P7" i="16"/>
  <c r="P35" i="16" s="1"/>
  <c r="O28" i="16"/>
  <c r="O13" i="16"/>
  <c r="O15" i="16"/>
  <c r="O12" i="16"/>
  <c r="O18" i="16"/>
  <c r="O21" i="16"/>
  <c r="O29" i="16"/>
  <c r="O33" i="16"/>
  <c r="N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P21" i="16"/>
  <c r="P9" i="16"/>
  <c r="P19" i="16"/>
  <c r="P27" i="16"/>
  <c r="P34" i="16"/>
  <c r="P17" i="16"/>
  <c r="P28" i="16"/>
  <c r="O11" i="16"/>
  <c r="P29" i="16"/>
  <c r="P25" i="16"/>
  <c r="P31" i="16"/>
  <c r="Q34" i="16" l="1"/>
  <c r="Q18" i="16"/>
  <c r="Q26" i="16"/>
  <c r="Q9" i="16"/>
  <c r="Q13" i="16"/>
  <c r="Q28" i="16"/>
  <c r="Q20" i="16"/>
  <c r="Q22" i="16"/>
  <c r="Q19" i="16"/>
  <c r="Q14" i="16"/>
  <c r="Q29" i="16"/>
  <c r="R7" i="16"/>
  <c r="R34" i="16" s="1"/>
  <c r="Q17" i="16"/>
  <c r="Q23" i="16"/>
  <c r="Q24" i="16"/>
  <c r="Q15" i="16"/>
  <c r="Q12" i="16"/>
  <c r="Q21" i="16"/>
  <c r="Q25" i="16"/>
  <c r="Q35" i="16"/>
  <c r="Q32" i="16"/>
  <c r="Q16" i="16"/>
  <c r="P11" i="16"/>
  <c r="Q30" i="16"/>
  <c r="Q27" i="16"/>
  <c r="Q31" i="16"/>
  <c r="Q33" i="16"/>
  <c r="R19" i="16" l="1"/>
  <c r="R18" i="16"/>
  <c r="R22" i="16"/>
  <c r="R15" i="16"/>
  <c r="R35" i="16"/>
  <c r="R17" i="16"/>
  <c r="R29" i="16"/>
  <c r="R14" i="16"/>
  <c r="R24" i="16"/>
  <c r="R31" i="16"/>
  <c r="R9" i="16"/>
  <c r="S7" i="16"/>
  <c r="S32" i="16" s="1"/>
  <c r="R21" i="16"/>
  <c r="R27" i="16"/>
  <c r="R32" i="16"/>
  <c r="Q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35" i="16" s="1"/>
  <c r="S22" i="16"/>
  <c r="S31" i="16"/>
  <c r="S16" i="16"/>
  <c r="S30" i="16"/>
  <c r="S35" i="16"/>
  <c r="R11" i="16"/>
  <c r="S12" i="16"/>
  <c r="S25" i="16"/>
  <c r="S17" i="16"/>
  <c r="S27" i="16"/>
  <c r="T29" i="16" l="1"/>
  <c r="T32" i="16"/>
  <c r="S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35" i="16"/>
  <c r="U9" i="16"/>
  <c r="U16" i="16"/>
  <c r="U32" i="16"/>
  <c r="U12" i="16"/>
  <c r="U27" i="16"/>
  <c r="U15" i="16"/>
  <c r="T11" i="16"/>
  <c r="U23" i="16"/>
  <c r="U28" i="16"/>
  <c r="U34" i="16"/>
  <c r="U18" i="16"/>
  <c r="U21" i="16"/>
  <c r="U25" i="16"/>
  <c r="U33" i="16"/>
  <c r="V7" i="16"/>
  <c r="V34" i="16" s="1"/>
  <c r="U13" i="16"/>
  <c r="U20" i="16"/>
  <c r="U22" i="16"/>
  <c r="U29" i="16"/>
  <c r="U30" i="16"/>
  <c r="U19" i="16"/>
  <c r="U31" i="16"/>
  <c r="V18" i="16" l="1"/>
  <c r="V35" i="16"/>
  <c r="V15" i="16"/>
  <c r="V29" i="16"/>
  <c r="V21" i="16"/>
  <c r="V33" i="16"/>
  <c r="U11" i="16"/>
  <c r="V22" i="16"/>
  <c r="V24" i="16"/>
  <c r="V28" i="16"/>
  <c r="V14" i="16"/>
  <c r="V12" i="16"/>
  <c r="V20" i="16"/>
  <c r="V23" i="16"/>
  <c r="V31" i="16"/>
  <c r="V9" i="16"/>
  <c r="V17" i="16"/>
  <c r="V19" i="16"/>
  <c r="V27" i="16"/>
  <c r="V32" i="16"/>
  <c r="V16" i="16"/>
  <c r="W7" i="16"/>
  <c r="W35"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V11" i="16"/>
  <c r="W19" i="16"/>
  <c r="W16" i="16"/>
  <c r="W27" i="16"/>
  <c r="W31" i="16"/>
  <c r="X20" i="16" l="1"/>
  <c r="X12" i="16"/>
  <c r="X30" i="16"/>
  <c r="X16" i="16"/>
  <c r="X21" i="16"/>
  <c r="W11" i="16"/>
  <c r="X34" i="16"/>
  <c r="X19" i="16"/>
  <c r="X14" i="16"/>
  <c r="X17" i="16"/>
  <c r="X24" i="16"/>
  <c r="X25" i="16"/>
  <c r="X31" i="16"/>
  <c r="X35" i="16"/>
  <c r="X29" i="16"/>
  <c r="X18" i="16"/>
  <c r="X22" i="16"/>
  <c r="X23" i="16"/>
  <c r="X26" i="16"/>
  <c r="X32" i="16"/>
  <c r="Y7" i="16"/>
  <c r="Y35" i="16" s="1"/>
  <c r="X13" i="16"/>
  <c r="X9" i="16"/>
  <c r="X28" i="16"/>
  <c r="X15" i="16"/>
  <c r="X27" i="16"/>
  <c r="Y16" i="16" l="1"/>
  <c r="Y30" i="16"/>
  <c r="Y24" i="16"/>
  <c r="Y23" i="16"/>
  <c r="Y31" i="16"/>
  <c r="Z7" i="16"/>
  <c r="Z35" i="16" s="1"/>
  <c r="X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Y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35" i="16" s="1"/>
  <c r="AA25" i="16"/>
  <c r="AA30" i="16"/>
  <c r="AA18" i="16"/>
  <c r="AA17" i="16"/>
  <c r="AA32" i="16"/>
  <c r="AA15" i="16"/>
  <c r="AA12" i="16"/>
  <c r="AA20" i="16"/>
  <c r="AA16" i="16"/>
  <c r="AA27" i="16"/>
  <c r="AA31" i="16"/>
  <c r="AA35" i="16"/>
  <c r="AA13" i="16"/>
  <c r="Z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A11" i="16"/>
  <c r="AB28" i="16"/>
  <c r="AB29" i="16"/>
  <c r="AB31" i="16"/>
  <c r="AC35" i="16" l="1"/>
  <c r="AC17" i="16"/>
  <c r="AC34" i="16"/>
  <c r="AC15" i="16"/>
  <c r="AC23" i="16"/>
  <c r="AC12" i="16"/>
  <c r="AC28" i="16"/>
  <c r="AB11" i="16"/>
  <c r="AC9" i="16"/>
  <c r="AC24" i="16"/>
  <c r="AC31" i="16"/>
  <c r="AC18" i="16"/>
  <c r="AC21" i="16"/>
  <c r="AC30" i="16"/>
  <c r="AD7" i="16"/>
  <c r="AD33" i="16" s="1"/>
  <c r="AC13" i="16"/>
  <c r="AC14" i="16"/>
  <c r="AC20" i="16"/>
  <c r="AC27" i="16"/>
  <c r="AC32" i="16"/>
  <c r="AC33" i="16"/>
  <c r="AC16" i="16"/>
  <c r="AC25" i="16"/>
  <c r="AC22" i="16"/>
  <c r="AC19" i="16"/>
  <c r="AC29" i="16"/>
  <c r="AD35" i="16" l="1"/>
  <c r="AD12" i="16"/>
  <c r="AD23" i="16"/>
  <c r="AD13" i="16"/>
  <c r="AD27" i="16"/>
  <c r="AD9" i="16"/>
  <c r="AD15" i="16"/>
  <c r="AD30" i="16"/>
  <c r="AC11" i="16"/>
  <c r="AD24" i="16"/>
  <c r="AD34" i="16"/>
  <c r="AD16" i="16"/>
  <c r="AD21" i="16"/>
  <c r="AD31" i="16"/>
  <c r="AD14" i="16"/>
  <c r="AD20" i="16"/>
  <c r="AD19" i="16"/>
  <c r="AD25" i="16"/>
  <c r="AD18" i="16"/>
  <c r="AD28" i="16"/>
  <c r="AD32" i="16"/>
  <c r="AD17" i="16"/>
  <c r="AE7" i="16"/>
  <c r="AE35" i="16" s="1"/>
  <c r="AD6" i="16"/>
  <c r="AD26" i="16"/>
  <c r="AD22" i="16"/>
  <c r="AD29" i="16"/>
  <c r="AE12" i="16" l="1"/>
  <c r="AE25" i="16"/>
  <c r="AE32" i="16"/>
  <c r="AE17" i="16"/>
  <c r="AE23" i="16"/>
  <c r="AE28" i="16"/>
  <c r="AE13" i="16"/>
  <c r="AE9" i="16"/>
  <c r="AE20" i="16"/>
  <c r="AE18" i="16"/>
  <c r="AE21" i="16"/>
  <c r="AE29" i="16"/>
  <c r="AE33" i="16"/>
  <c r="AE15" i="16"/>
  <c r="AD11" i="16"/>
  <c r="AE19" i="16"/>
  <c r="AE24" i="16"/>
  <c r="AE26" i="16"/>
  <c r="AE30" i="16"/>
  <c r="AE34" i="16"/>
  <c r="AE14" i="16"/>
  <c r="AF7" i="16"/>
  <c r="AF35" i="16" s="1"/>
  <c r="AE22" i="16"/>
  <c r="AE16" i="16"/>
  <c r="AE27" i="16"/>
  <c r="AE31" i="16"/>
  <c r="AF18" i="16" l="1"/>
  <c r="AF29" i="16"/>
  <c r="AF12" i="16"/>
  <c r="AF15" i="16"/>
  <c r="AF21" i="16"/>
  <c r="AF26" i="16"/>
  <c r="AF9" i="16"/>
  <c r="AF30" i="16"/>
  <c r="AG7" i="16"/>
  <c r="AG34" i="16" s="1"/>
  <c r="AF19" i="16"/>
  <c r="AF32" i="16"/>
  <c r="AF13" i="16"/>
  <c r="AF23" i="16"/>
  <c r="AF20" i="16"/>
  <c r="AF33" i="16"/>
  <c r="AF17" i="16"/>
  <c r="AE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35" i="16"/>
  <c r="AG30" i="16"/>
  <c r="AH7" i="16"/>
  <c r="AH32" i="16" s="1"/>
  <c r="AG11" i="16"/>
  <c r="AG18" i="16"/>
  <c r="AG21" i="16"/>
  <c r="AG19" i="16"/>
  <c r="AG28" i="16"/>
  <c r="AH12" i="16" l="1"/>
  <c r="AH26" i="16"/>
  <c r="AH30" i="16"/>
  <c r="AH14" i="16"/>
  <c r="AH17" i="16"/>
  <c r="AH22" i="16"/>
  <c r="AH33" i="16"/>
  <c r="AH9" i="16"/>
  <c r="AH19" i="16"/>
  <c r="AH23" i="16"/>
  <c r="AH34" i="16"/>
  <c r="AI7" i="16"/>
  <c r="AI35" i="16" s="1"/>
  <c r="AH21" i="16"/>
  <c r="AH29" i="16"/>
  <c r="AH11" i="16"/>
  <c r="AH15" i="16"/>
  <c r="AH25" i="16"/>
  <c r="AH20" i="16"/>
  <c r="AH27" i="16"/>
  <c r="AH31" i="16"/>
  <c r="AH35"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15" i="16"/>
  <c r="AJ26" i="16"/>
  <c r="AK13" i="16" l="1"/>
  <c r="AK25" i="16"/>
  <c r="AK35"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35"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35" i="16"/>
  <c r="AM22" i="16"/>
  <c r="AM11" i="16"/>
  <c r="AM23" i="16"/>
  <c r="AM26" i="16"/>
  <c r="AM31" i="16"/>
  <c r="AM14" i="16"/>
  <c r="AM15" i="16"/>
  <c r="AM24" i="16"/>
  <c r="AM17" i="16"/>
  <c r="AM28" i="16"/>
  <c r="AN31" i="16" l="1"/>
  <c r="AN35" i="16"/>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16" i="16" l="1"/>
  <c r="AY35"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14" i="16" l="1"/>
  <c r="BA3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31" i="16"/>
  <c r="BC29" i="16"/>
  <c r="BC28" i="16"/>
  <c r="BC27" i="16"/>
  <c r="BC24" i="16" l="1"/>
  <c r="BC16" i="16"/>
  <c r="BC17" i="16"/>
  <c r="BC18" i="16"/>
  <c r="BC22" i="16"/>
  <c r="BC23" i="16"/>
  <c r="BC21" i="16"/>
  <c r="BC32" i="16"/>
  <c r="BC33" i="16"/>
  <c r="BC35" i="16"/>
  <c r="BC13" i="16"/>
  <c r="BC9" i="16"/>
  <c r="BC11" i="16"/>
  <c r="BC15" i="16"/>
  <c r="BD7" i="16"/>
  <c r="BD29" i="16" s="1"/>
  <c r="BC12" i="16"/>
  <c r="BC14" i="16"/>
  <c r="BC25" i="16"/>
  <c r="BC19" i="16"/>
  <c r="BC20" i="16"/>
  <c r="BC26" i="16"/>
  <c r="BC30" i="16"/>
  <c r="BD28" i="16" l="1"/>
  <c r="BD20" i="16"/>
  <c r="BD26" i="16"/>
  <c r="BD30" i="16"/>
  <c r="BD34" i="16"/>
  <c r="BD23" i="16"/>
  <c r="BD25" i="16"/>
  <c r="BD27" i="16"/>
  <c r="BD19" i="16"/>
  <c r="BD13" i="16"/>
  <c r="BD16" i="16"/>
  <c r="BD35" i="16"/>
  <c r="BD9" i="16"/>
  <c r="BD22" i="16"/>
  <c r="BD15" i="16"/>
  <c r="BD12" i="16"/>
  <c r="BD18" i="16"/>
  <c r="BD31" i="16"/>
  <c r="BD32" i="16"/>
  <c r="BD33" i="16"/>
  <c r="BE7" i="16"/>
  <c r="BE25" i="16" s="1"/>
  <c r="BD14" i="16"/>
  <c r="BD11" i="16"/>
  <c r="BD17" i="16"/>
  <c r="BD21" i="16"/>
  <c r="BD24" i="16"/>
  <c r="BE27" i="16" l="1"/>
  <c r="BE22" i="16"/>
  <c r="BE30" i="16"/>
  <c r="BE28" i="16"/>
  <c r="BE18" i="16"/>
  <c r="BF7" i="16"/>
  <c r="BF19" i="16" s="1"/>
  <c r="BE29" i="16"/>
  <c r="BE9" i="16"/>
  <c r="BE19" i="16"/>
  <c r="BE24" i="16"/>
  <c r="BE12" i="16"/>
  <c r="BE13" i="16"/>
  <c r="BE31" i="16"/>
  <c r="BE16" i="16"/>
  <c r="BE33" i="16"/>
  <c r="BE35" i="16"/>
  <c r="BE23" i="16"/>
  <c r="BE11" i="16"/>
  <c r="BE14" i="16"/>
  <c r="BE21" i="16"/>
  <c r="BE34" i="16"/>
  <c r="BE17" i="16"/>
  <c r="BE32" i="16"/>
  <c r="BE20" i="16"/>
  <c r="BE26" i="16"/>
  <c r="BE15" i="16"/>
  <c r="BF34" i="16"/>
  <c r="BF33" i="16"/>
  <c r="BF32" i="16"/>
  <c r="BF31" i="16"/>
  <c r="BF30" i="16"/>
  <c r="BF25" i="16"/>
  <c r="BF29" i="16"/>
  <c r="BF28" i="16"/>
  <c r="BF27" i="16"/>
  <c r="BF23" i="16"/>
  <c r="BF22" i="16"/>
  <c r="BF18" i="16"/>
  <c r="BF24" i="16"/>
  <c r="BF35" i="16" l="1"/>
  <c r="BF26" i="16"/>
  <c r="BF14" i="16"/>
  <c r="BF15" i="16"/>
  <c r="BF9" i="16"/>
  <c r="BF11" i="16"/>
  <c r="BF17" i="16"/>
  <c r="BG7" i="16"/>
  <c r="BG25" i="16" s="1"/>
  <c r="BF21" i="16"/>
  <c r="BF12" i="16"/>
  <c r="BF6" i="16"/>
  <c r="BF16" i="16"/>
  <c r="BF20" i="16"/>
  <c r="BF13" i="16"/>
  <c r="BG35" i="16"/>
  <c r="BG34" i="16"/>
  <c r="BG33" i="16"/>
  <c r="BG32" i="16"/>
  <c r="BG31" i="16"/>
  <c r="BG30" i="16"/>
  <c r="BG29" i="16" l="1"/>
  <c r="BG14" i="16"/>
  <c r="BG13" i="16"/>
  <c r="BH7" i="16"/>
  <c r="BH34" i="16" s="1"/>
  <c r="BG18" i="16"/>
  <c r="BG24" i="16"/>
  <c r="BG15" i="16"/>
  <c r="BG9" i="16"/>
  <c r="BG11" i="16"/>
  <c r="BG12" i="16"/>
  <c r="BG23" i="16"/>
  <c r="BG20" i="16"/>
  <c r="BG19" i="16"/>
  <c r="BG27" i="16"/>
  <c r="BG28" i="16"/>
  <c r="BG22" i="16"/>
  <c r="BG16" i="16"/>
  <c r="BG17" i="16"/>
  <c r="BG26" i="16"/>
  <c r="BG21" i="16"/>
  <c r="BH35" i="16" l="1"/>
  <c r="BH13" i="16"/>
  <c r="BH22" i="16"/>
  <c r="BH17" i="16"/>
  <c r="BH18" i="16"/>
  <c r="BI7" i="16"/>
  <c r="BI25" i="16" s="1"/>
  <c r="BH9" i="16"/>
  <c r="BH11" i="16"/>
  <c r="BH28" i="16"/>
  <c r="BH21" i="16"/>
  <c r="BH24" i="16"/>
  <c r="BH23" i="16"/>
  <c r="BH15" i="16"/>
  <c r="BH25" i="16"/>
  <c r="BH20" i="16"/>
  <c r="BH29" i="16"/>
  <c r="BH26" i="16"/>
  <c r="BH27" i="16"/>
  <c r="BH12" i="16"/>
  <c r="BH31" i="16"/>
  <c r="BH30" i="16"/>
  <c r="BH16" i="16"/>
  <c r="BH32" i="16"/>
  <c r="BH19" i="16"/>
  <c r="BH33" i="16"/>
  <c r="BH14" i="16"/>
  <c r="BI31" i="16"/>
  <c r="BI26" i="16"/>
  <c r="BI34" i="16"/>
  <c r="BI32" i="16"/>
  <c r="BI30" i="16"/>
  <c r="BI29" i="16"/>
  <c r="BI28" i="16"/>
  <c r="BI27" i="16"/>
  <c r="BI24" i="16"/>
  <c r="BI19" i="16"/>
  <c r="BI23" i="16"/>
  <c r="BI20" i="16"/>
  <c r="BI33" i="16" l="1"/>
  <c r="BI35" i="16"/>
  <c r="BI17" i="16"/>
  <c r="BI9" i="16"/>
  <c r="BJ7" i="16"/>
  <c r="BJ27" i="16" s="1"/>
  <c r="BI16" i="16"/>
  <c r="BI12" i="16"/>
  <c r="BI18" i="16"/>
  <c r="BI11" i="16"/>
  <c r="BI13" i="16"/>
  <c r="BI15" i="16"/>
  <c r="BI14" i="16"/>
  <c r="BI22" i="16"/>
  <c r="BI21" i="16"/>
  <c r="BJ29" i="16" l="1"/>
  <c r="BJ28" i="16"/>
  <c r="BJ25" i="16"/>
  <c r="BJ30" i="16"/>
  <c r="BJ31" i="16"/>
  <c r="BJ32" i="16"/>
  <c r="BJ33" i="16"/>
  <c r="BJ34" i="16"/>
  <c r="BJ35" i="16"/>
  <c r="BJ14" i="16"/>
  <c r="BJ9" i="16"/>
  <c r="BJ11" i="16"/>
  <c r="BK7" i="16"/>
  <c r="BK30" i="16" s="1"/>
  <c r="BJ12" i="16"/>
  <c r="BJ16" i="16"/>
  <c r="BJ19" i="16"/>
  <c r="BJ13" i="16"/>
  <c r="BJ15" i="16"/>
  <c r="BJ17" i="16"/>
  <c r="BJ24" i="16"/>
  <c r="BJ20" i="16"/>
  <c r="BJ21" i="16"/>
  <c r="BJ26" i="16"/>
  <c r="BJ18" i="16"/>
  <c r="BJ22" i="16"/>
  <c r="BJ23" i="16"/>
  <c r="BK33" i="16" l="1"/>
  <c r="BK34" i="16"/>
  <c r="BK35" i="16"/>
  <c r="BK32" i="16"/>
  <c r="BK9" i="16"/>
  <c r="BK14" i="16"/>
  <c r="BK11" i="16"/>
  <c r="BL7" i="16"/>
  <c r="BL24" i="16" s="1"/>
  <c r="BK12" i="16"/>
  <c r="BK23" i="16"/>
  <c r="BK19" i="16"/>
  <c r="BK20" i="16"/>
  <c r="BK18" i="16"/>
  <c r="BK22" i="16"/>
  <c r="BK24" i="16"/>
  <c r="BK25" i="16"/>
  <c r="BK17" i="16"/>
  <c r="BK16" i="16"/>
  <c r="BK21" i="16"/>
  <c r="BK26" i="16"/>
  <c r="BK28" i="16"/>
  <c r="BK27" i="16"/>
  <c r="BK29" i="16"/>
  <c r="BK13" i="16"/>
  <c r="BK31" i="16"/>
  <c r="BK15" i="16"/>
  <c r="BL12" i="16" l="1"/>
  <c r="BL17" i="16"/>
  <c r="BL14" i="16"/>
  <c r="BL11" i="16"/>
  <c r="BL16" i="16"/>
  <c r="BL23" i="16"/>
  <c r="BL28" i="16"/>
  <c r="BL19" i="16"/>
  <c r="BL22" i="16"/>
  <c r="BL15" i="16"/>
  <c r="BL20" i="16"/>
  <c r="BL25" i="16"/>
  <c r="BL26" i="16"/>
  <c r="BL27" i="16"/>
  <c r="BL29" i="16"/>
  <c r="BL30" i="16"/>
  <c r="BL31" i="16"/>
  <c r="BL32" i="16"/>
  <c r="BL33" i="16"/>
  <c r="BL34" i="16"/>
  <c r="BL18" i="16"/>
  <c r="BL13" i="16"/>
  <c r="BL35" i="16"/>
  <c r="BL21" i="16"/>
  <c r="BL9" i="1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<sst xmlns="http://schemas.openxmlformats.org/spreadsheetml/2006/main" count="225" uniqueCount="56">
  <si>
    <t>Task 3</t>
  </si>
  <si>
    <t>Task 4</t>
  </si>
  <si>
    <t>Task 5</t>
  </si>
  <si>
    <t>Task 1</t>
  </si>
  <si>
    <t>Task 2</t>
  </si>
  <si>
    <t>PROJECT TITLE</t>
  </si>
  <si>
    <t>Name</t>
  </si>
  <si>
    <t>Category</t>
  </si>
  <si>
    <t>Goal</t>
  </si>
  <si>
    <t>Milestone</t>
  </si>
  <si>
    <t>Progress</t>
  </si>
  <si>
    <t>Start</t>
  </si>
  <si>
    <t>Scrolling Increment:</t>
  </si>
  <si>
    <t>Med Risk</t>
  </si>
  <si>
    <t>Low Risk</t>
  </si>
  <si>
    <t>High Risk</t>
  </si>
  <si>
    <t>On Track</t>
  </si>
  <si>
    <t>Project Start Date:</t>
  </si>
  <si>
    <t>Legend:</t>
  </si>
  <si>
    <t>Unassigned</t>
  </si>
  <si>
    <t>To add more data, Insert new rows ABOVE this one</t>
  </si>
  <si>
    <t>Project lead</t>
  </si>
  <si>
    <t>Company name</t>
  </si>
  <si>
    <t>Milestone description</t>
  </si>
  <si>
    <t>Assigned to</t>
  </si>
  <si>
    <t>Days</t>
  </si>
  <si>
    <t>On track</t>
  </si>
  <si>
    <t>Low risk</t>
  </si>
  <si>
    <t>Med risk</t>
  </si>
  <si>
    <t>High risk</t>
  </si>
  <si>
    <t>TITLE 2</t>
  </si>
  <si>
    <t>TITLE 3</t>
  </si>
  <si>
    <t>TITLE 4</t>
  </si>
  <si>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</si>
  <si>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</si>
  <si>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xml:space="preserve">•  Use Progress to add how much of the project you finished by adding a percentage number. 
•  Add the day you started your project in the Start Date. 
•  Finish your calculations by filling in the number of days you need to complete your project in the No. of Days field. </t>
  </si>
  <si>
    <t>CELL</t>
  </si>
  <si>
    <t>Agile Projects</t>
  </si>
  <si>
    <t>Iteration 1</t>
  </si>
  <si>
    <t>Complete all tasks for iteration 1</t>
  </si>
  <si>
    <t>All members</t>
  </si>
  <si>
    <t>Group Metting #1</t>
  </si>
  <si>
    <t>Stakeholder Register</t>
  </si>
  <si>
    <t>Group Meeting #3</t>
  </si>
  <si>
    <t>Create persona #1</t>
  </si>
  <si>
    <t>Create persona #2</t>
  </si>
  <si>
    <t>Create persona #3</t>
  </si>
  <si>
    <t>Abby</t>
  </si>
  <si>
    <t>Aiden</t>
  </si>
  <si>
    <t>Sara</t>
  </si>
  <si>
    <t>Group Meeting #4</t>
  </si>
  <si>
    <t>Create and set up Repository for Project</t>
  </si>
  <si>
    <t xml:space="preserve">Review of Each Person </t>
  </si>
  <si>
    <t xml:space="preserve">Progress report </t>
  </si>
  <si>
    <t>Complete Read me File within iteration 1</t>
  </si>
  <si>
    <t>Group Meeting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</si>
</sst>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_);_(* \(#,##0.00\);_(* &quot;-&quot;??_);_(@_)"/>
    <numFmt numFmtId="165" formatCode="d"/>
  </numFmts>
  <fonts count="35"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b/>
      <sz val="11"/>
      <color theme="1"/>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10" fillId="3" borderId="0" applyNumberFormat="0" applyBorder="0" applyAlignment="0" applyProtection="0"/>
  </cellStyleXfs>
  <cellXfs count="147">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7"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8" xfId="0" applyNumberFormat="1" applyFont="1" applyFill="1" applyBorder="1" applyAlignment="1">
      <alignment horizontal="center" vertical="center"/>
    </xf>
    <xf numFmtId="165" fontId="1" fillId="14" borderId="19"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4" fillId="6" borderId="0" xfId="0" applyFont="1" applyFill="1" applyAlignment="1">
      <alignment horizontal="center" vertical="center"/>
    </xf>
    <xf numFmtId="0" fontId="13" fillId="4" borderId="0" xfId="0" applyFont="1" applyFill="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xf numFmtId="0" fontId="10" fillId="0" borderId="0" xfId="0" applyFont="1" applyAlignment="1">
      <alignment horizontal="center" vertical="center" wrapText="1"/>
    </xf>
    <xf numFmtId="9" fontId="0" fillId="0" borderId="0" xfId="2" applyFont="1" applyFill="1" applyBorder="1" applyAlignment="1">
      <alignment horizontal="center" vertical="center"/>
    </xf>
    <xf numFmtId="14" fontId="0" fillId="0" borderId="0" xfId="9" applyFont="1" applyFill="1" applyBorder="1" applyAlignment="1">
      <alignment horizontal="center" vertical="center"/>
    </xf>
    <xf numFmtId="37" fontId="0" fillId="0" borderId="0" xfId="10" applyFont="1" applyFill="1" applyBorder="1" applyAlignment="1">
      <alignment horizontal="center" vertical="center"/>
    </xf>
    <xf numFmtId="0" fontId="21" fillId="0" borderId="0" xfId="0" applyFont="1" applyAlignment="1">
      <alignment horizontal="center" vertical="center" wrapText="1"/>
    </xf>
    <xf numFmtId="9" fontId="21" fillId="0" borderId="0" xfId="2" applyFont="1" applyFill="1" applyBorder="1" applyAlignment="1">
      <alignment horizontal="center" vertical="center"/>
    </xf>
    <xf numFmtId="14" fontId="10" fillId="0" borderId="0" xfId="9" applyFont="1" applyFill="1" applyBorder="1" applyAlignment="1">
      <alignment horizontal="center" vertical="center"/>
    </xf>
    <xf numFmtId="37" fontId="10" fillId="0" borderId="0" xfId="10" applyFont="1" applyFill="1" applyBorder="1" applyAlignment="1">
      <alignment horizontal="center" vertical="center"/>
    </xf>
    <xf numFmtId="0" fontId="10" fillId="10" borderId="0" xfId="0" applyFont="1" applyFill="1" applyAlignment="1">
      <alignment horizontal="center" vertical="center" wrapText="1"/>
    </xf>
    <xf numFmtId="14" fontId="0" fillId="10" borderId="0" xfId="9" applyFont="1" applyFill="1" applyAlignment="1">
      <alignment horizontal="center" vertical="center"/>
    </xf>
    <xf numFmtId="37" fontId="0" fillId="10" borderId="0" xfId="10" applyFont="1" applyFill="1" applyAlignment="1">
      <alignment horizontal="center" vertical="center"/>
    </xf>
    <xf numFmtId="0" fontId="34" fillId="0" borderId="0" xfId="0" applyFont="1"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vertical="center" wrapText="1"/>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96">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theme="0"/>
      </font>
      <fill>
        <patternFill>
          <bgColor theme="1" tint="0.34998626667073579"/>
        </patternFill>
      </fill>
      <border>
        <left/>
        <right/>
        <top/>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95"/>
      <tableStyleElement type="headerRow" dxfId="94"/>
      <tableStyleElement type="firstRowStripe" dxfId="93"/>
      <tableStyleElement type="secondRowStripe" dxfId="92"/>
    </tableStyle>
    <tableStyle name="ToDoList" pivot="0" count="9" xr9:uid="{00000000-0011-0000-FFFF-FFFF00000000}">
      <tableStyleElement type="wholeTable" dxfId="91"/>
      <tableStyleElement type="headerRow" dxfId="90"/>
      <tableStyleElement type="totalRow" dxfId="89"/>
      <tableStyleElement type="firstColumn" dxfId="88"/>
      <tableStyleElement type="lastColumn" dxfId="87"/>
      <tableStyleElement type="firstRowStripe" dxfId="86"/>
      <tableStyleElement type="secondRowStripe" dxfId="85"/>
      <tableStyleElement type="firstColumnStripe" dxfId="84"/>
      <tableStyleElement type="secondColumnStripe" dxfId="8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Scroll" dx="39" fmlaLink="$C$7" horiz="1" max="365" page="2"/>
</file>

<file path=xl/ctrlProps/ctrlProp2.xml><?xml version="1.0" encoding="utf-8"?>
<formControlPr xmlns="http://schemas.microsoft.com/office/spreadsheetml/2009/9/main" objectType="Scroll" dx="39" fmlaLink="$C$7" horiz="1" max="365" page="2" val="0"/>
</file>

<file path=xl/ctrlProps/ctrlProp3.xml><?xml version="1.0" encoding="utf-8"?>
<formControlPr xmlns="http://schemas.microsoft.com/office/spreadsheetml/2009/9/main" objectType="Scroll" dx="39" fmlaLink="$C$7" horiz="1" max="365" page="2" val="0"/>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c 1" descr="Gantt Chart with solid fill">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6385" name="Scroll Bar 1" descr="Scroll bar to scroll through the Ghantt project timeline."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Scroll Bar 1" descr="Scroll bar to scroll through the Ghantt project timeline." hidden="1">
              <a:extLst>
                <a:ext uri="{63B3BB69-23CF-44E3-9099-C40C66FF867C}">
                  <a14:compatExt spid="_x0000_s17409"/>
                </a:ext>
                <a:ext uri="{FF2B5EF4-FFF2-40B4-BE49-F238E27FC236}">
                  <a16:creationId xmlns:a16="http://schemas.microsoft.com/office/drawing/2014/main" id="{00000000-0008-0000-03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36" totalsRowShown="0" headerRowDxfId="82" dataDxfId="81">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ilestone description" dataDxfId="80"/>
    <tableColumn id="2" xr3:uid="{39BD914E-FB02-4352-846C-6D59624DC0B0}" name="Category" dataDxfId="79"/>
    <tableColumn id="3" xr3:uid="{D274194F-BCA0-44F3-84B2-217254EE241C}" name="Assigned to" dataDxfId="78"/>
    <tableColumn id="4" xr3:uid="{8385BC6F-56EE-4363-A106-8DB0A1E4EF5A}" name="Progress" dataDxfId="77"/>
    <tableColumn id="5" xr3:uid="{02926609-7B93-4B6F-BE96-92EC7A949E4B}" name="Start" dataDxfId="76" dataCellStyle="Date"/>
    <tableColumn id="6" xr3:uid="{8FF9BE8E-04B7-4B39-AC27-D2E534204BC3}" name="Days" dataDxfId="75"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43" totalsRowShown="0" headerRowDxfId="74" dataDxfId="63">
  <autoFilter ref="B9:G43"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69"/>
    <tableColumn id="2" xr3:uid="{529EEF64-D037-4ACF-8CA4-0C10FE2D1FBB}" name="Category" dataDxfId="68"/>
    <tableColumn id="3" xr3:uid="{711D01BA-2785-403A-9636-CCC7E2ADA584}" name="Assigned to" dataDxfId="67"/>
    <tableColumn id="4" xr3:uid="{62B00BEF-16BE-4692-B5E2-F287F680F2C1}" name="Progress" dataDxfId="66"/>
    <tableColumn id="5" xr3:uid="{D6D72902-F68F-4E59-A714-AFFF520C647A}" name="Start" dataDxfId="65" dataCellStyle="Date"/>
    <tableColumn id="6" xr3:uid="{93E698DE-286F-49ED-AA20-D0C843671DE8}" name="Days" dataDxfId="64"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ilestones43524" displayName="Milestones43524" ref="B9:G36" totalsRowShown="0" headerRowDxfId="73">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ilestone description" dataDxfId="72"/>
    <tableColumn id="2" xr3:uid="{4492A0B8-068F-4002-9E8D-E1F5FED367F0}" name="Category" dataDxfId="71"/>
    <tableColumn id="3" xr3:uid="{DF1A764E-7050-4528-B7F9-B6AB99372146}" name="Assigned to" dataDxfId="70"/>
    <tableColumn id="4" xr3:uid="{47C54592-75B0-4C70-BBF8-0F40483670E9}" name="Progress"/>
    <tableColumn id="5" xr3:uid="{663FB5E0-7616-4EA5-B56A-FF069E2E07D7}" name="Start" dataCellStyle="Date"/>
    <tableColumn id="6" xr3:uid="{3B766962-C06F-4E12-BE91-12AB93439874}" name="Days"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defaultColWidth="9.140625" defaultRowHeight="12.75" x14ac:dyDescent="0.2"/>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x14ac:dyDescent="0.4">
      <c r="D1" s="101"/>
    </row>
    <row r="2" spans="1:13" ht="50.1" customHeight="1" x14ac:dyDescent="0.4">
      <c r="A2" s="7"/>
      <c r="B2" s="107"/>
      <c r="C2" s="116" t="s">
        <v>33</v>
      </c>
      <c r="D2" s="116"/>
      <c r="E2" s="116"/>
      <c r="F2" s="107"/>
      <c r="G2" s="7"/>
      <c r="H2" s="7"/>
      <c r="I2" s="7"/>
      <c r="J2" s="7"/>
      <c r="K2" s="7"/>
      <c r="L2" s="7"/>
      <c r="M2" s="7"/>
    </row>
    <row r="3" spans="1:13" ht="14.45" customHeight="1" x14ac:dyDescent="0.4">
      <c r="A3" s="7"/>
      <c r="B3" s="102"/>
      <c r="C3" s="103"/>
      <c r="D3" s="104"/>
      <c r="E3" s="102"/>
      <c r="F3" s="102"/>
      <c r="G3" s="7"/>
      <c r="H3" s="7"/>
      <c r="I3" s="7"/>
      <c r="J3" s="7"/>
      <c r="K3" s="7"/>
      <c r="L3" s="7"/>
      <c r="M3" s="7"/>
    </row>
    <row r="4" spans="1:13" s="8" customFormat="1" ht="67.150000000000006" customHeight="1" x14ac:dyDescent="0.4">
      <c r="A4" s="7"/>
      <c r="B4" s="102"/>
      <c r="C4" s="117" t="s">
        <v>34</v>
      </c>
      <c r="D4" s="117"/>
      <c r="E4" s="117"/>
      <c r="F4" s="102"/>
      <c r="G4" s="7"/>
      <c r="H4" s="7"/>
      <c r="I4" s="7"/>
      <c r="J4" s="7"/>
      <c r="K4" s="7"/>
      <c r="L4" s="7"/>
      <c r="M4" s="7"/>
    </row>
    <row r="5" spans="1:13" s="8" customFormat="1" ht="67.150000000000006" customHeight="1" x14ac:dyDescent="0.4">
      <c r="A5" s="7"/>
      <c r="B5" s="102"/>
      <c r="C5" s="117" t="s">
        <v>35</v>
      </c>
      <c r="D5" s="117"/>
      <c r="E5" s="117"/>
      <c r="F5" s="102"/>
      <c r="G5" s="7"/>
      <c r="H5" s="7"/>
      <c r="I5" s="7"/>
      <c r="J5" s="7"/>
      <c r="K5" s="7"/>
      <c r="L5" s="7"/>
      <c r="M5" s="7"/>
    </row>
    <row r="6" spans="1:13" ht="15" x14ac:dyDescent="0.25">
      <c r="A6" s="6"/>
      <c r="B6" s="105"/>
      <c r="C6" s="105"/>
      <c r="D6" s="106"/>
      <c r="E6" s="105"/>
      <c r="F6" s="105"/>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14" zoomScaleNormal="100" zoomScalePageLayoutView="70" workbookViewId="0">
      <selection activeCell="G17" sqref="G17"/>
    </sheetView>
  </sheetViews>
  <sheetFormatPr defaultColWidth="8.85546875" defaultRowHeight="30" customHeight="1" x14ac:dyDescent="0.25"/>
  <cols>
    <col min="1" max="1" width="4.7109375" style="9" customWidth="1"/>
    <col min="2" max="2" width="30.7109375" customWidth="1"/>
    <col min="3" max="3" width="13.28515625" bestFit="1" customWidth="1"/>
    <col min="4" max="4" width="20.5703125" customWidth="1"/>
    <col min="5" max="5" width="15.7109375" customWidth="1"/>
    <col min="6" max="6" width="10.42578125" style="2" customWidth="1"/>
    <col min="7" max="7" width="8.28515625" customWidth="1"/>
    <col min="8" max="8" width="2.7109375" hidden="1" customWidth="1"/>
    <col min="9" max="64" width="3.5703125" customWidth="1"/>
    <col min="65" max="65" width="2.7109375" customWidth="1"/>
  </cols>
  <sheetData>
    <row r="1" spans="1:68" ht="25.15" customHeight="1" x14ac:dyDescent="0.25"/>
    <row r="2" spans="1:68" ht="49.9" customHeight="1" x14ac:dyDescent="0.25">
      <c r="A2" s="10"/>
      <c r="B2" s="120" t="s">
        <v>5</v>
      </c>
      <c r="C2" s="120"/>
      <c r="D2" s="120"/>
      <c r="E2" s="120"/>
      <c r="F2" s="120"/>
      <c r="G2" s="120"/>
      <c r="H2" s="120"/>
      <c r="I2" s="121"/>
      <c r="J2" s="121"/>
      <c r="K2" s="121"/>
      <c r="L2" s="121"/>
      <c r="M2" s="121"/>
      <c r="N2" s="121"/>
      <c r="O2" s="122"/>
      <c r="P2" s="122"/>
      <c r="Q2" s="122"/>
      <c r="R2" s="122"/>
      <c r="S2" s="122"/>
      <c r="T2" s="122"/>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25">
      <c r="A3" s="10"/>
      <c r="B3" s="62"/>
      <c r="C3" s="63"/>
      <c r="D3" s="64"/>
      <c r="E3" s="64"/>
      <c r="F3" s="65"/>
      <c r="G3" s="64"/>
      <c r="H3" s="64"/>
      <c r="I3" s="78"/>
      <c r="J3" s="1"/>
      <c r="K3" s="1"/>
      <c r="L3" s="1"/>
    </row>
    <row r="4" spans="1:68" ht="30" customHeight="1" x14ac:dyDescent="0.25">
      <c r="A4" s="10"/>
      <c r="B4" s="66" t="s">
        <v>22</v>
      </c>
      <c r="C4" s="67"/>
      <c r="D4" s="68"/>
      <c r="E4" s="69"/>
      <c r="F4" s="70"/>
      <c r="G4" s="71" t="s">
        <v>18</v>
      </c>
      <c r="H4" s="69"/>
      <c r="I4" s="123" t="s">
        <v>26</v>
      </c>
      <c r="J4" s="123"/>
      <c r="K4" s="123"/>
      <c r="L4" s="123"/>
      <c r="N4" s="124" t="s">
        <v>27</v>
      </c>
      <c r="O4" s="124"/>
      <c r="P4" s="124"/>
      <c r="Q4" s="124"/>
      <c r="S4" s="125" t="s">
        <v>28</v>
      </c>
      <c r="T4" s="125"/>
      <c r="U4" s="125"/>
      <c r="V4" s="125"/>
      <c r="X4" s="118" t="s">
        <v>29</v>
      </c>
      <c r="Y4" s="118"/>
      <c r="Z4" s="118"/>
      <c r="AA4" s="118"/>
      <c r="AC4" s="119" t="s">
        <v>19</v>
      </c>
      <c r="AD4" s="119"/>
      <c r="AE4" s="119"/>
      <c r="AF4" s="119"/>
    </row>
    <row r="5" spans="1:68" ht="30" customHeight="1" x14ac:dyDescent="0.25">
      <c r="A5" s="10"/>
      <c r="B5" s="72" t="s">
        <v>21</v>
      </c>
      <c r="C5" s="68"/>
      <c r="D5" s="68"/>
      <c r="E5" s="69"/>
      <c r="F5" s="70"/>
      <c r="G5" s="69"/>
      <c r="H5" s="69"/>
    </row>
    <row r="6" spans="1:68" ht="30" customHeight="1" x14ac:dyDescent="0.35">
      <c r="A6" s="10"/>
      <c r="B6" s="73" t="s">
        <v>17</v>
      </c>
      <c r="C6" s="74" cm="1">
        <f t="array" aca="1" ref="C6" ca="1">IFERROR(IF(MIN(Milestones4352[Start])=0,TODAY(),B11(Milestones4352[Start])),TODAY())</f>
        <v>46113</v>
      </c>
      <c r="D6" s="75"/>
      <c r="E6" s="69"/>
      <c r="F6" s="70"/>
      <c r="G6" s="69"/>
      <c r="H6" s="69"/>
      <c r="I6" s="85" t="str">
        <f ca="1">TEXT(I7,"mmmm")</f>
        <v>April</v>
      </c>
      <c r="J6" s="85"/>
      <c r="K6" s="85"/>
      <c r="L6" s="85"/>
      <c r="M6" s="85"/>
      <c r="N6" s="85"/>
      <c r="O6" s="85"/>
      <c r="P6" s="85" t="str">
        <f ca="1">IF(TEXT(P7,"mmmm")=I6,"",TEXT(P7,"mmmm"))</f>
        <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May</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25">
      <c r="A7" s="10"/>
      <c r="B7" s="73" t="s">
        <v>12</v>
      </c>
      <c r="C7" s="76">
        <v>1</v>
      </c>
      <c r="D7" s="68"/>
      <c r="E7" s="69"/>
      <c r="F7" s="69"/>
      <c r="G7" s="69"/>
      <c r="H7" s="77"/>
      <c r="I7" s="92">
        <f ca="1">IFERROR(Project_Start+Scrolling_Increment,TODAY())</f>
        <v>46114</v>
      </c>
      <c r="J7" s="93">
        <f ca="1">I7+1</f>
        <v>46115</v>
      </c>
      <c r="K7" s="93">
        <f t="shared" ref="K7:AX7" ca="1" si="0">J7+1</f>
        <v>46116</v>
      </c>
      <c r="L7" s="93">
        <f t="shared" ca="1" si="0"/>
        <v>46117</v>
      </c>
      <c r="M7" s="93">
        <f t="shared" ca="1" si="0"/>
        <v>46118</v>
      </c>
      <c r="N7" s="93">
        <f t="shared" ca="1" si="0"/>
        <v>46119</v>
      </c>
      <c r="O7" s="94">
        <f t="shared" ca="1" si="0"/>
        <v>46120</v>
      </c>
      <c r="P7" s="93">
        <f ca="1">O7+1</f>
        <v>46121</v>
      </c>
      <c r="Q7" s="93">
        <f ca="1">P7+1</f>
        <v>46122</v>
      </c>
      <c r="R7" s="93">
        <f t="shared" ca="1" si="0"/>
        <v>46123</v>
      </c>
      <c r="S7" s="93">
        <f t="shared" ca="1" si="0"/>
        <v>46124</v>
      </c>
      <c r="T7" s="93">
        <f t="shared" ca="1" si="0"/>
        <v>46125</v>
      </c>
      <c r="U7" s="93">
        <f t="shared" ca="1" si="0"/>
        <v>46126</v>
      </c>
      <c r="V7" s="94">
        <f t="shared" ca="1" si="0"/>
        <v>46127</v>
      </c>
      <c r="W7" s="93">
        <f ca="1">V7+1</f>
        <v>46128</v>
      </c>
      <c r="X7" s="93">
        <f ca="1">W7+1</f>
        <v>46129</v>
      </c>
      <c r="Y7" s="93">
        <f t="shared" ca="1" si="0"/>
        <v>46130</v>
      </c>
      <c r="Z7" s="93">
        <f t="shared" ca="1" si="0"/>
        <v>46131</v>
      </c>
      <c r="AA7" s="93">
        <f t="shared" ca="1" si="0"/>
        <v>46132</v>
      </c>
      <c r="AB7" s="93">
        <f t="shared" ca="1" si="0"/>
        <v>46133</v>
      </c>
      <c r="AC7" s="94">
        <f t="shared" ca="1" si="0"/>
        <v>46134</v>
      </c>
      <c r="AD7" s="93">
        <f ca="1">AC7+1</f>
        <v>46135</v>
      </c>
      <c r="AE7" s="93">
        <f ca="1">AD7+1</f>
        <v>46136</v>
      </c>
      <c r="AF7" s="93">
        <f t="shared" ca="1" si="0"/>
        <v>46137</v>
      </c>
      <c r="AG7" s="93">
        <f t="shared" ca="1" si="0"/>
        <v>46138</v>
      </c>
      <c r="AH7" s="93">
        <f t="shared" ca="1" si="0"/>
        <v>46139</v>
      </c>
      <c r="AI7" s="93">
        <f t="shared" ca="1" si="0"/>
        <v>46140</v>
      </c>
      <c r="AJ7" s="94">
        <f t="shared" ca="1" si="0"/>
        <v>46141</v>
      </c>
      <c r="AK7" s="93">
        <f ca="1">AJ7+1</f>
        <v>46142</v>
      </c>
      <c r="AL7" s="93">
        <f ca="1">AK7+1</f>
        <v>46143</v>
      </c>
      <c r="AM7" s="93">
        <f t="shared" ca="1" si="0"/>
        <v>46144</v>
      </c>
      <c r="AN7" s="93">
        <f t="shared" ca="1" si="0"/>
        <v>46145</v>
      </c>
      <c r="AO7" s="93">
        <f t="shared" ca="1" si="0"/>
        <v>46146</v>
      </c>
      <c r="AP7" s="93">
        <f t="shared" ca="1" si="0"/>
        <v>46147</v>
      </c>
      <c r="AQ7" s="94">
        <f t="shared" ca="1" si="0"/>
        <v>46148</v>
      </c>
      <c r="AR7" s="93">
        <f ca="1">AQ7+1</f>
        <v>46149</v>
      </c>
      <c r="AS7" s="93">
        <f ca="1">AR7+1</f>
        <v>46150</v>
      </c>
      <c r="AT7" s="93">
        <f t="shared" ca="1" si="0"/>
        <v>46151</v>
      </c>
      <c r="AU7" s="93">
        <f t="shared" ca="1" si="0"/>
        <v>46152</v>
      </c>
      <c r="AV7" s="93">
        <f t="shared" ca="1" si="0"/>
        <v>46153</v>
      </c>
      <c r="AW7" s="93">
        <f t="shared" ca="1" si="0"/>
        <v>46154</v>
      </c>
      <c r="AX7" s="94">
        <f t="shared" ca="1" si="0"/>
        <v>46155</v>
      </c>
      <c r="AY7" s="93">
        <f ca="1">AX7+1</f>
        <v>46156</v>
      </c>
      <c r="AZ7" s="93">
        <f ca="1">AY7+1</f>
        <v>46157</v>
      </c>
      <c r="BA7" s="93">
        <f t="shared" ref="BA7:BE7" ca="1" si="1">AZ7+1</f>
        <v>46158</v>
      </c>
      <c r="BB7" s="93">
        <f t="shared" ca="1" si="1"/>
        <v>46159</v>
      </c>
      <c r="BC7" s="93">
        <f t="shared" ca="1" si="1"/>
        <v>46160</v>
      </c>
      <c r="BD7" s="93">
        <f t="shared" ca="1" si="1"/>
        <v>46161</v>
      </c>
      <c r="BE7" s="94">
        <f t="shared" ca="1" si="1"/>
        <v>46162</v>
      </c>
      <c r="BF7" s="93">
        <f ca="1">BE7+1</f>
        <v>46163</v>
      </c>
      <c r="BG7" s="93">
        <f ca="1">BF7+1</f>
        <v>46164</v>
      </c>
      <c r="BH7" s="93">
        <f t="shared" ref="BH7:BL7" ca="1" si="2">BG7+1</f>
        <v>46165</v>
      </c>
      <c r="BI7" s="93">
        <f t="shared" ca="1" si="2"/>
        <v>46166</v>
      </c>
      <c r="BJ7" s="93">
        <f t="shared" ca="1" si="2"/>
        <v>46167</v>
      </c>
      <c r="BK7" s="93">
        <f t="shared" ca="1" si="2"/>
        <v>46168</v>
      </c>
      <c r="BL7" s="94">
        <f t="shared" ca="1" si="2"/>
        <v>46169</v>
      </c>
    </row>
    <row r="8" spans="1:68" ht="19.899999999999999" customHeight="1" x14ac:dyDescent="0.2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25">
      <c r="A9" s="10"/>
      <c r="B9" s="108" t="s">
        <v>23</v>
      </c>
      <c r="C9" s="109" t="s">
        <v>7</v>
      </c>
      <c r="D9" s="109" t="s">
        <v>24</v>
      </c>
      <c r="E9" s="109" t="s">
        <v>10</v>
      </c>
      <c r="F9" s="109" t="s">
        <v>11</v>
      </c>
      <c r="G9" s="109" t="s">
        <v>25</v>
      </c>
      <c r="H9" s="82"/>
      <c r="I9" s="100" t="str">
        <f t="shared" ref="I9:BL9" ca="1" si="3">LEFT(TEXT(I7,"ddd"),1)</f>
        <v>T</v>
      </c>
      <c r="J9" s="100" t="str">
        <f t="shared" ca="1" si="3"/>
        <v>F</v>
      </c>
      <c r="K9" s="100" t="str">
        <f t="shared" ca="1" si="3"/>
        <v>S</v>
      </c>
      <c r="L9" s="100" t="str">
        <f t="shared" ca="1" si="3"/>
        <v>S</v>
      </c>
      <c r="M9" s="100" t="str">
        <f t="shared" ca="1" si="3"/>
        <v>M</v>
      </c>
      <c r="N9" s="100" t="str">
        <f t="shared" ca="1" si="3"/>
        <v>T</v>
      </c>
      <c r="O9" s="100" t="str">
        <f t="shared" ca="1" si="3"/>
        <v>W</v>
      </c>
      <c r="P9" s="100" t="str">
        <f t="shared" ca="1" si="3"/>
        <v>T</v>
      </c>
      <c r="Q9" s="100" t="str">
        <f t="shared" ca="1" si="3"/>
        <v>F</v>
      </c>
      <c r="R9" s="100" t="str">
        <f t="shared" ca="1" si="3"/>
        <v>S</v>
      </c>
      <c r="S9" s="100" t="str">
        <f t="shared" ca="1" si="3"/>
        <v>S</v>
      </c>
      <c r="T9" s="100" t="str">
        <f t="shared" ca="1" si="3"/>
        <v>M</v>
      </c>
      <c r="U9" s="100" t="str">
        <f t="shared" ca="1" si="3"/>
        <v>T</v>
      </c>
      <c r="V9" s="100" t="str">
        <f t="shared" ca="1" si="3"/>
        <v>W</v>
      </c>
      <c r="W9" s="100" t="str">
        <f t="shared" ca="1" si="3"/>
        <v>T</v>
      </c>
      <c r="X9" s="100" t="str">
        <f t="shared" ca="1" si="3"/>
        <v>F</v>
      </c>
      <c r="Y9" s="100" t="str">
        <f t="shared" ca="1" si="3"/>
        <v>S</v>
      </c>
      <c r="Z9" s="100" t="str">
        <f t="shared" ca="1" si="3"/>
        <v>S</v>
      </c>
      <c r="AA9" s="100" t="str">
        <f t="shared" ca="1" si="3"/>
        <v>M</v>
      </c>
      <c r="AB9" s="100" t="str">
        <f t="shared" ca="1" si="3"/>
        <v>T</v>
      </c>
      <c r="AC9" s="100" t="str">
        <f t="shared" ca="1" si="3"/>
        <v>W</v>
      </c>
      <c r="AD9" s="100" t="str">
        <f t="shared" ca="1" si="3"/>
        <v>T</v>
      </c>
      <c r="AE9" s="100" t="str">
        <f t="shared" ca="1" si="3"/>
        <v>F</v>
      </c>
      <c r="AF9" s="100" t="str">
        <f t="shared" ca="1" si="3"/>
        <v>S</v>
      </c>
      <c r="AG9" s="100" t="str">
        <f t="shared" ca="1" si="3"/>
        <v>S</v>
      </c>
      <c r="AH9" s="100" t="str">
        <f t="shared" ca="1" si="3"/>
        <v>M</v>
      </c>
      <c r="AI9" s="100" t="str">
        <f t="shared" ca="1" si="3"/>
        <v>T</v>
      </c>
      <c r="AJ9" s="100" t="str">
        <f t="shared" ca="1" si="3"/>
        <v>W</v>
      </c>
      <c r="AK9" s="100" t="str">
        <f t="shared" ca="1" si="3"/>
        <v>T</v>
      </c>
      <c r="AL9" s="100" t="str">
        <f t="shared" ca="1" si="3"/>
        <v>F</v>
      </c>
      <c r="AM9" s="100" t="str">
        <f t="shared" ca="1" si="3"/>
        <v>S</v>
      </c>
      <c r="AN9" s="100" t="str">
        <f t="shared" ca="1" si="3"/>
        <v>S</v>
      </c>
      <c r="AO9" s="100" t="str">
        <f t="shared" ca="1" si="3"/>
        <v>M</v>
      </c>
      <c r="AP9" s="100" t="str">
        <f t="shared" ca="1" si="3"/>
        <v>T</v>
      </c>
      <c r="AQ9" s="100" t="str">
        <f t="shared" ca="1" si="3"/>
        <v>W</v>
      </c>
      <c r="AR9" s="100" t="str">
        <f t="shared" ca="1" si="3"/>
        <v>T</v>
      </c>
      <c r="AS9" s="100" t="str">
        <f t="shared" ca="1" si="3"/>
        <v>F</v>
      </c>
      <c r="AT9" s="100" t="str">
        <f t="shared" ca="1" si="3"/>
        <v>S</v>
      </c>
      <c r="AU9" s="100" t="str">
        <f t="shared" ca="1" si="3"/>
        <v>S</v>
      </c>
      <c r="AV9" s="100" t="str">
        <f t="shared" ca="1" si="3"/>
        <v>M</v>
      </c>
      <c r="AW9" s="100" t="str">
        <f t="shared" ca="1" si="3"/>
        <v>T</v>
      </c>
      <c r="AX9" s="100" t="str">
        <f t="shared" ca="1" si="3"/>
        <v>W</v>
      </c>
      <c r="AY9" s="100" t="str">
        <f t="shared" ca="1" si="3"/>
        <v>T</v>
      </c>
      <c r="AZ9" s="100" t="str">
        <f t="shared" ca="1" si="3"/>
        <v>F</v>
      </c>
      <c r="BA9" s="100" t="str">
        <f t="shared" ca="1" si="3"/>
        <v>S</v>
      </c>
      <c r="BB9" s="100" t="str">
        <f t="shared" ca="1" si="3"/>
        <v>S</v>
      </c>
      <c r="BC9" s="100" t="str">
        <f t="shared" ca="1" si="3"/>
        <v>M</v>
      </c>
      <c r="BD9" s="100" t="str">
        <f t="shared" ca="1" si="3"/>
        <v>T</v>
      </c>
      <c r="BE9" s="100" t="str">
        <f t="shared" ca="1" si="3"/>
        <v>W</v>
      </c>
      <c r="BF9" s="100" t="str">
        <f t="shared" ca="1" si="3"/>
        <v>T</v>
      </c>
      <c r="BG9" s="100" t="str">
        <f t="shared" ca="1" si="3"/>
        <v>F</v>
      </c>
      <c r="BH9" s="100" t="str">
        <f t="shared" ca="1" si="3"/>
        <v>S</v>
      </c>
      <c r="BI9" s="100" t="str">
        <f t="shared" ca="1" si="3"/>
        <v>S</v>
      </c>
      <c r="BJ9" s="100" t="str">
        <f t="shared" ca="1" si="3"/>
        <v>M</v>
      </c>
      <c r="BK9" s="100" t="str">
        <f t="shared" ca="1" si="3"/>
        <v>T</v>
      </c>
      <c r="BL9" s="100" t="str">
        <f t="shared" ca="1" si="3"/>
        <v>W</v>
      </c>
    </row>
    <row r="10" spans="1:68" ht="30" hidden="1" customHeight="1" thickBot="1" x14ac:dyDescent="0.3">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25">
      <c r="A11" s="10"/>
      <c r="B11" s="144" t="s">
        <v>38</v>
      </c>
      <c r="C11" s="145"/>
      <c r="D11" s="145" t="s">
        <v>40</v>
      </c>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25">
      <c r="A12" s="10"/>
      <c r="B12" s="146" t="s">
        <v>39</v>
      </c>
      <c r="C12" s="145" t="s">
        <v>8</v>
      </c>
      <c r="D12" s="145" t="s">
        <v>40</v>
      </c>
      <c r="E12" s="54">
        <v>0.25</v>
      </c>
      <c r="F12" s="55">
        <f ca="1">TODAY()</f>
        <v>46113</v>
      </c>
      <c r="G12" s="56">
        <v>3</v>
      </c>
      <c r="H12" s="53"/>
      <c r="I12" s="22">
        <f ca="1">IF(AND($C12="Goal",I$7&gt;=$F12,I$7&lt;=$F12+$G12-1),2,IF(AND($C12="Milestone",I$7&gt;=$F12,I$7&lt;=$F12+$G12-1),1,""))</f>
        <v>2</v>
      </c>
      <c r="J12" s="22">
        <f t="shared" ca="1" si="4"/>
        <v>2</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25">
      <c r="A13" s="10"/>
      <c r="B13" s="146" t="s">
        <v>41</v>
      </c>
      <c r="C13" s="145" t="s">
        <v>13</v>
      </c>
      <c r="D13" s="145" t="s">
        <v>40</v>
      </c>
      <c r="E13" s="54"/>
      <c r="F13" s="55">
        <f ca="1">TODAY()+5</f>
        <v>46118</v>
      </c>
      <c r="G13" s="56">
        <v>1</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25">
      <c r="A14" s="9"/>
      <c r="B14" s="146" t="s">
        <v>51</v>
      </c>
      <c r="C14" s="145" t="s">
        <v>15</v>
      </c>
      <c r="D14" s="145" t="s">
        <v>40</v>
      </c>
      <c r="E14" s="54">
        <v>0.5</v>
      </c>
      <c r="F14" s="55">
        <f ca="1">F12-3</f>
        <v>46110</v>
      </c>
      <c r="G14" s="56">
        <v>10</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25">
      <c r="A15" s="9"/>
      <c r="B15" s="146" t="s">
        <v>42</v>
      </c>
      <c r="C15" s="145" t="s">
        <v>15</v>
      </c>
      <c r="D15" s="145" t="s">
        <v>40</v>
      </c>
      <c r="E15" s="54"/>
      <c r="F15" s="55">
        <f ca="1">F12+20</f>
        <v>46133</v>
      </c>
      <c r="G15" s="56">
        <v>1</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25">
      <c r="A16" s="9"/>
      <c r="B16" s="146" t="s">
        <v>55</v>
      </c>
      <c r="C16" s="145" t="s">
        <v>15</v>
      </c>
      <c r="D16" s="145" t="s">
        <v>40</v>
      </c>
      <c r="E16" s="54">
        <v>0.1</v>
      </c>
      <c r="F16" s="55">
        <f ca="1">F12+6</f>
        <v>46119</v>
      </c>
      <c r="G16" s="56">
        <v>6</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25">
      <c r="A17" s="10"/>
      <c r="B17" s="144" t="s">
        <v>44</v>
      </c>
      <c r="C17" s="145" t="s">
        <v>13</v>
      </c>
      <c r="D17" s="145" t="s">
        <v>40</v>
      </c>
      <c r="E17" s="54"/>
      <c r="F17" s="55"/>
      <c r="G17" s="56"/>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25">
      <c r="A18" s="10"/>
      <c r="B18" s="144" t="s">
        <v>45</v>
      </c>
      <c r="C18" s="145" t="s">
        <v>13</v>
      </c>
      <c r="D18" s="145" t="s">
        <v>47</v>
      </c>
      <c r="E18" s="54">
        <v>0.6</v>
      </c>
      <c r="F18" s="55">
        <f ca="1">F12+6</f>
        <v>46119</v>
      </c>
      <c r="G18" s="56">
        <v>13</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t="str">
        <f t="shared" ca="1" si="5"/>
        <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25">
      <c r="A19" s="9"/>
      <c r="B19" s="144" t="s">
        <v>46</v>
      </c>
      <c r="C19" s="145" t="s">
        <v>13</v>
      </c>
      <c r="D19" s="145" t="s">
        <v>48</v>
      </c>
      <c r="E19" s="54">
        <v>0.5</v>
      </c>
      <c r="F19" s="55">
        <f ca="1">F18+2</f>
        <v>46121</v>
      </c>
      <c r="G19" s="56">
        <v>9</v>
      </c>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25">
      <c r="A20" s="9"/>
      <c r="B20" s="144" t="s">
        <v>43</v>
      </c>
      <c r="C20" s="145" t="s">
        <v>13</v>
      </c>
      <c r="D20" s="145" t="s">
        <v>49</v>
      </c>
      <c r="E20" s="54">
        <v>0.33</v>
      </c>
      <c r="F20" s="55">
        <f ca="1">F19+5</f>
        <v>46126</v>
      </c>
      <c r="G20" s="56">
        <v>11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t="str">
        <f t="shared" ca="1" si="5"/>
        <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25">
      <c r="A21" s="9"/>
      <c r="B21" s="146" t="s">
        <v>52</v>
      </c>
      <c r="C21" s="145" t="s">
        <v>13</v>
      </c>
      <c r="D21" s="145" t="s">
        <v>40</v>
      </c>
      <c r="E21" s="54"/>
      <c r="F21" s="55">
        <f ca="1">F20+2</f>
        <v>46128</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t="str">
        <f t="shared" ca="1" si="5"/>
        <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25">
      <c r="A22" s="9"/>
      <c r="B22" s="144" t="s">
        <v>50</v>
      </c>
      <c r="C22" s="145" t="s">
        <v>13</v>
      </c>
      <c r="D22" s="145" t="s">
        <v>40</v>
      </c>
      <c r="E22" s="54"/>
      <c r="F22" s="55">
        <f ca="1">F21+1</f>
        <v>46129</v>
      </c>
      <c r="G22" s="56">
        <v>24</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25">
      <c r="A23" s="9"/>
      <c r="B23" s="146" t="s">
        <v>53</v>
      </c>
      <c r="C23" s="145" t="s">
        <v>13</v>
      </c>
      <c r="D23" s="145" t="s">
        <v>40</v>
      </c>
      <c r="E23" s="54"/>
      <c r="F23" s="55"/>
      <c r="G23" s="56"/>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25">
      <c r="A24" s="9"/>
      <c r="B24" s="146" t="s">
        <v>54</v>
      </c>
      <c r="C24" s="145" t="s">
        <v>13</v>
      </c>
      <c r="D24" s="145" t="s">
        <v>40</v>
      </c>
      <c r="E24" s="54"/>
      <c r="F24" s="55">
        <f ca="1">F12+15</f>
        <v>46128</v>
      </c>
      <c r="G24" s="56">
        <v>4</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25">
      <c r="A25" s="9"/>
      <c r="B25" s="57" t="s">
        <v>4</v>
      </c>
      <c r="C25" s="53" t="s">
        <v>13</v>
      </c>
      <c r="D25" s="53"/>
      <c r="E25" s="54"/>
      <c r="F25" s="55">
        <f ca="1">F24+3</f>
        <v>46131</v>
      </c>
      <c r="G25" s="56">
        <v>14</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25">
      <c r="A26" s="9"/>
      <c r="B26" s="57" t="s">
        <v>0</v>
      </c>
      <c r="C26" s="53" t="s">
        <v>16</v>
      </c>
      <c r="D26" s="53"/>
      <c r="E26" s="54"/>
      <c r="F26" s="55">
        <f ca="1">F25+15</f>
        <v>46146</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25">
      <c r="A27" s="9"/>
      <c r="B27" s="57" t="s">
        <v>1</v>
      </c>
      <c r="C27" s="53" t="s">
        <v>8</v>
      </c>
      <c r="D27" s="53"/>
      <c r="E27" s="54"/>
      <c r="F27" s="55">
        <f ca="1">F21+22</f>
        <v>46150</v>
      </c>
      <c r="G27" s="56">
        <v>3</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f t="shared" ca="1" si="9"/>
        <v>2</v>
      </c>
      <c r="AT27" s="22">
        <f t="shared" ca="1" si="9"/>
        <v>2</v>
      </c>
      <c r="AU27" s="22">
        <f t="shared" ca="1" si="9"/>
        <v>2</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25">
      <c r="A28" s="9"/>
      <c r="B28" s="57" t="s">
        <v>2</v>
      </c>
      <c r="C28" s="53" t="s">
        <v>14</v>
      </c>
      <c r="D28" s="53"/>
      <c r="E28" s="54"/>
      <c r="F28" s="55">
        <f ca="1">F16</f>
        <v>46119</v>
      </c>
      <c r="G28" s="56">
        <v>19</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25">
      <c r="A29" s="9"/>
      <c r="B29" s="110" t="s">
        <v>32</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25">
      <c r="A30" s="9"/>
      <c r="B30" s="57" t="s">
        <v>3</v>
      </c>
      <c r="C30" s="53"/>
      <c r="D30" s="53"/>
      <c r="E30" s="54"/>
      <c r="F30" s="55">
        <f ca="1">F27+3</f>
        <v>46153</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25">
      <c r="A31" s="9"/>
      <c r="B31" s="57" t="s">
        <v>4</v>
      </c>
      <c r="C31" s="53"/>
      <c r="D31" s="53"/>
      <c r="E31" s="54"/>
      <c r="F31" s="55">
        <f ca="1">F30+14</f>
        <v>46167</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25">
      <c r="A32" s="9"/>
      <c r="B32" s="57" t="s">
        <v>0</v>
      </c>
      <c r="C32" s="53" t="s">
        <v>9</v>
      </c>
      <c r="D32" s="53"/>
      <c r="E32" s="54"/>
      <c r="F32" s="55">
        <f ca="1">F31+42</f>
        <v>46209</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2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2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2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2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25">
      <c r="D37" s="4"/>
      <c r="G37" s="11"/>
      <c r="H37" s="3"/>
    </row>
    <row r="38" spans="1:65" ht="30" customHeight="1" x14ac:dyDescent="0.2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62" priority="4">
      <formula>I$7&lt;=EOMONTH($I$7,0)</formula>
    </cfRule>
  </conditionalFormatting>
  <conditionalFormatting sqref="I6:BL6">
    <cfRule type="expression" dxfId="61" priority="2">
      <formula>AND(I$7&lt;=EOMONTH($I$7,1),I$7&gt;EOMONTH($I$7,0))</formula>
    </cfRule>
  </conditionalFormatting>
  <conditionalFormatting sqref="I7:BL36">
    <cfRule type="expression" dxfId="60" priority="1">
      <formula>AND(TODAY()&gt;=I$7,TODAY()&lt;J$7)</formula>
    </cfRule>
  </conditionalFormatting>
  <conditionalFormatting sqref="I10:BL35">
    <cfRule type="expression" dxfId="59" priority="7" stopIfTrue="1">
      <formula>AND($C10="Low Risk",I$7&gt;=$F10,I$7&lt;=$F10+$G10-1)</formula>
    </cfRule>
    <cfRule type="expression" dxfId="58" priority="8" stopIfTrue="1">
      <formula>AND($C10="High Risk",I$7&gt;=$F10,I$7&lt;=$F10+$G10-1)</formula>
    </cfRule>
    <cfRule type="expression" dxfId="57" priority="9" stopIfTrue="1">
      <formula>AND($C10="On Track",I$7&gt;=$F10,I$7&lt;=$F10+$G10-1)</formula>
    </cfRule>
    <cfRule type="expression" dxfId="56" priority="10" stopIfTrue="1">
      <formula>AND($C10="Med Risk",I$7&gt;=$F10,I$7&lt;=$F10+$G10-1)</formula>
    </cfRule>
    <cfRule type="expression" dxfId="55" priority="11" stopIfTrue="1">
      <formula>AND(LEN($C10)=0,I$7&gt;=$F10,I$7&lt;=$F10+$G10-1)</formula>
    </cfRule>
  </conditionalFormatting>
  <conditionalFormatting sqref="I36:BL36">
    <cfRule type="expression" dxfId="54" priority="13" stopIfTrue="1">
      <formula>AND(#REF!="Low Risk",I$7&gt;=#REF!,I$7&lt;=#REF!+#REF!-1)</formula>
    </cfRule>
    <cfRule type="expression" dxfId="53" priority="14" stopIfTrue="1">
      <formula>AND(#REF!="High Risk",I$7&gt;=#REF!,I$7&lt;=#REF!+#REF!-1)</formula>
    </cfRule>
    <cfRule type="expression" dxfId="52" priority="15" stopIfTrue="1">
      <formula>AND(#REF!="On Track",I$7&gt;=#REF!,I$7&lt;=#REF!+#REF!-1)</formula>
    </cfRule>
    <cfRule type="expression" dxfId="51" priority="16" stopIfTrue="1">
      <formula>AND(#REF!="Med Risk",I$7&gt;=#REF!,I$7&lt;=#REF!+#REF!-1)</formula>
    </cfRule>
    <cfRule type="expression" dxfId="50" priority="17" stopIfTrue="1">
      <formula>AND(LEN(#REF!)=0,I$7&gt;=#REF!,I$7&lt;=#REF!+#REF!-1)</formula>
    </cfRule>
  </conditionalFormatting>
  <conditionalFormatting sqref="J6:BL6">
    <cfRule type="expression" dxfId="49" priority="3">
      <formula>AND(J$7&lt;=EOMONTH($I$7,2),J$7&gt;EOMONTH($I$7,0),J$7&gt;EOMONTH($I$7,1))</formula>
    </cfRule>
  </conditionalFormatting>
  <dataValidations count="13">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35" xr:uid="{12A8278F-D51D-4B98-A311-DB5FCD18D214}">
      <formula1>"Goal,Milestone,On Track, Low Risk, Med Risk, High Risk"</formula1>
    </dataValidation>
    <dataValidation type="list" allowBlank="1" showInputMessage="1" sqref="C11" xr:uid="{CE886BCE-D2A1-48AA-AB84-009F5B73CAA3}">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36" xr:uid="{659FD5CB-B62B-4854-B8A9-29F1F70930AC}"/>
    <dataValidation allowBlank="1" showInputMessage="1" showErrorMessage="1" prompt="This is an empty row" sqref="A35" xr:uid="{60F6BB2A-523D-41BA-B324-85E19FB9FF7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6385" r:id="rId4" name="Scroll Bar 1">
              <controlPr defaultSize="0" autoPict="0" altText="Scroll bar to scroll through the Ghantt project timeline.">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45"/>
  <sheetViews>
    <sheetView showGridLines="0" showRuler="0" zoomScaleNormal="100" zoomScalePageLayoutView="70" workbookViewId="0">
      <selection activeCell="G15" sqref="G15"/>
    </sheetView>
  </sheetViews>
  <sheetFormatPr defaultColWidth="8.85546875" defaultRowHeight="30" customHeight="1" x14ac:dyDescent="0.25"/>
  <cols>
    <col min="1" max="1" width="4.7109375" style="9" customWidth="1"/>
    <col min="2" max="2" width="30.7109375" customWidth="1"/>
    <col min="3" max="3" width="13.28515625" bestFit="1"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26" t="s">
        <v>37</v>
      </c>
      <c r="C2" s="126"/>
      <c r="D2" s="126"/>
      <c r="E2" s="126"/>
      <c r="F2" s="126"/>
      <c r="G2" s="126"/>
      <c r="H2" s="126"/>
      <c r="I2" s="127"/>
      <c r="J2" s="127"/>
      <c r="K2" s="127"/>
      <c r="L2" s="127"/>
      <c r="M2" s="127"/>
      <c r="N2" s="127"/>
      <c r="O2" s="128"/>
      <c r="P2" s="129"/>
      <c r="Q2" s="129"/>
      <c r="R2" s="129"/>
      <c r="S2" s="129"/>
      <c r="T2" s="129"/>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25">
      <c r="A3" s="10"/>
      <c r="B3" s="38"/>
      <c r="C3" s="39"/>
      <c r="D3" s="40"/>
      <c r="E3" s="40"/>
      <c r="F3" s="41"/>
      <c r="G3" s="24"/>
      <c r="H3" s="24"/>
      <c r="I3" s="42"/>
      <c r="J3" s="24"/>
      <c r="K3" s="24"/>
      <c r="L3" s="24"/>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row>
    <row r="4" spans="1:68" ht="30" customHeight="1" x14ac:dyDescent="0.25">
      <c r="A4" s="10"/>
      <c r="B4" s="50" t="s">
        <v>36</v>
      </c>
      <c r="C4" s="46"/>
      <c r="D4" s="47"/>
      <c r="E4" s="25"/>
      <c r="F4" s="26"/>
      <c r="G4" s="27" t="s">
        <v>18</v>
      </c>
      <c r="H4" s="25"/>
      <c r="I4" s="123" t="s">
        <v>26</v>
      </c>
      <c r="J4" s="123"/>
      <c r="K4" s="123"/>
      <c r="L4" s="123"/>
      <c r="M4" s="28"/>
      <c r="N4" s="124" t="s">
        <v>27</v>
      </c>
      <c r="O4" s="124"/>
      <c r="P4" s="124"/>
      <c r="Q4" s="124"/>
      <c r="R4" s="28"/>
      <c r="S4" s="125" t="s">
        <v>28</v>
      </c>
      <c r="T4" s="125"/>
      <c r="U4" s="125"/>
      <c r="V4" s="125"/>
      <c r="W4" s="28"/>
      <c r="X4" s="118" t="s">
        <v>29</v>
      </c>
      <c r="Y4" s="118"/>
      <c r="Z4" s="118"/>
      <c r="AA4" s="118"/>
      <c r="AB4" s="28"/>
      <c r="AC4" s="119" t="s">
        <v>19</v>
      </c>
      <c r="AD4" s="119"/>
      <c r="AE4" s="119"/>
      <c r="AF4" s="119"/>
      <c r="AG4" s="28"/>
      <c r="AH4" s="28"/>
      <c r="AI4" s="28"/>
      <c r="AJ4" s="28"/>
      <c r="AK4" s="28"/>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row>
    <row r="5" spans="1:68" ht="30" customHeight="1" x14ac:dyDescent="0.25">
      <c r="A5" s="10"/>
      <c r="B5" s="51" t="s">
        <v>21</v>
      </c>
      <c r="C5" s="48"/>
      <c r="D5" s="48"/>
      <c r="E5" s="28"/>
      <c r="F5" s="29"/>
      <c r="G5" s="28"/>
      <c r="H5" s="25"/>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c r="BE5" s="28"/>
      <c r="BF5" s="28"/>
      <c r="BG5" s="28"/>
      <c r="BH5" s="28"/>
      <c r="BI5" s="28"/>
      <c r="BJ5" s="28"/>
      <c r="BK5" s="28"/>
      <c r="BL5" s="28"/>
      <c r="BM5" s="28"/>
    </row>
    <row r="6" spans="1:68" ht="30" customHeight="1" x14ac:dyDescent="0.35">
      <c r="A6" s="10"/>
      <c r="B6" s="45" t="s">
        <v>17</v>
      </c>
      <c r="C6" s="30">
        <v>46078</v>
      </c>
      <c r="D6" s="49"/>
      <c r="E6" s="28"/>
      <c r="F6" s="29"/>
      <c r="G6" s="28"/>
      <c r="H6" s="25"/>
      <c r="I6" s="88" t="str">
        <f ca="1">TEXT(I7,"mmmm")</f>
        <v>February</v>
      </c>
      <c r="J6" s="88"/>
      <c r="K6" s="88"/>
      <c r="L6" s="88"/>
      <c r="M6" s="88"/>
      <c r="N6" s="88"/>
      <c r="O6" s="88"/>
      <c r="P6" s="88" t="str">
        <f ca="1">IF(TEXT(P7,"mmmm")=I6,"",TEXT(P7,"mmmm"))</f>
        <v>March</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
      </c>
      <c r="AL6" s="88"/>
      <c r="AM6" s="88"/>
      <c r="AN6" s="88"/>
      <c r="AO6" s="88"/>
      <c r="AP6" s="88"/>
      <c r="AQ6" s="88"/>
      <c r="AR6" s="88" t="str">
        <f ca="1">IF(OR(TEXT(AR7,"mmmm")=AK6,TEXT(AR7,"mmmm")=AD6,TEXT(AR7,"mmmm")=W6,TEXT(AR7,"mmmm")=P6),"",TEXT(AR7,"mmmm"))</f>
        <v>April</v>
      </c>
      <c r="AS6" s="88"/>
      <c r="AT6" s="88"/>
      <c r="AU6" s="88"/>
      <c r="AV6" s="88"/>
      <c r="AW6" s="88"/>
      <c r="AX6" s="88"/>
      <c r="AY6" s="88" t="str">
        <f ca="1">IF(OR(TEXT(AY7,"mmmm")=AR6,TEXT(AY7,"mmmm")=AK6,TEXT(AY7,"mmmm")=AD6,TEXT(AY7,"mmmm")=W6),"",TEXT(AY7,"mmmm"))</f>
        <v/>
      </c>
      <c r="AZ6" s="88"/>
      <c r="BA6" s="88"/>
      <c r="BB6" s="89"/>
      <c r="BC6" s="59"/>
      <c r="BD6" s="59"/>
      <c r="BE6" s="59"/>
      <c r="BF6" s="59" t="str">
        <f ca="1">IF(OR(TEXT(BF7,"mmmm")=AY6,TEXT(BF7,"mmmm")=AR6,TEXT(BF7,"mmmm")=AK6,TEXT(BF7,"mmmm")=AD6),"",TEXT(BF7,"mmmm"))</f>
        <v/>
      </c>
      <c r="BG6" s="59"/>
      <c r="BH6" s="59"/>
      <c r="BI6" s="59"/>
      <c r="BJ6" s="59"/>
      <c r="BK6" s="59"/>
      <c r="BL6" s="59"/>
      <c r="BM6" s="28"/>
    </row>
    <row r="7" spans="1:68" ht="30" customHeight="1" x14ac:dyDescent="0.25">
      <c r="A7" s="10"/>
      <c r="B7" s="45" t="s">
        <v>12</v>
      </c>
      <c r="C7" s="31">
        <v>0</v>
      </c>
      <c r="D7" s="48"/>
      <c r="E7" s="25"/>
      <c r="F7" s="25"/>
      <c r="G7" s="25"/>
      <c r="H7" s="25"/>
      <c r="I7" s="90">
        <f ca="1">IFERROR(Project_Start+Scrolling_Increment,TODAY())</f>
        <v>46078</v>
      </c>
      <c r="J7" s="17">
        <f ca="1">I7+1</f>
        <v>46079</v>
      </c>
      <c r="K7" s="17">
        <f t="shared" ref="K7:AX7" ca="1" si="0">J7+1</f>
        <v>46080</v>
      </c>
      <c r="L7" s="17">
        <f t="shared" ca="1" si="0"/>
        <v>46081</v>
      </c>
      <c r="M7" s="17">
        <f t="shared" ca="1" si="0"/>
        <v>46082</v>
      </c>
      <c r="N7" s="17">
        <f t="shared" ca="1" si="0"/>
        <v>46083</v>
      </c>
      <c r="O7" s="58">
        <f t="shared" ca="1" si="0"/>
        <v>46084</v>
      </c>
      <c r="P7" s="17">
        <f ca="1">O7+1</f>
        <v>46085</v>
      </c>
      <c r="Q7" s="17">
        <f ca="1">P7+1</f>
        <v>46086</v>
      </c>
      <c r="R7" s="17">
        <f t="shared" ca="1" si="0"/>
        <v>46087</v>
      </c>
      <c r="S7" s="17">
        <f t="shared" ca="1" si="0"/>
        <v>46088</v>
      </c>
      <c r="T7" s="17">
        <f t="shared" ca="1" si="0"/>
        <v>46089</v>
      </c>
      <c r="U7" s="17">
        <f t="shared" ca="1" si="0"/>
        <v>46090</v>
      </c>
      <c r="V7" s="58">
        <f t="shared" ca="1" si="0"/>
        <v>46091</v>
      </c>
      <c r="W7" s="17">
        <f ca="1">V7+1</f>
        <v>46092</v>
      </c>
      <c r="X7" s="17">
        <f ca="1">W7+1</f>
        <v>46093</v>
      </c>
      <c r="Y7" s="17">
        <f t="shared" ca="1" si="0"/>
        <v>46094</v>
      </c>
      <c r="Z7" s="17">
        <f t="shared" ca="1" si="0"/>
        <v>46095</v>
      </c>
      <c r="AA7" s="17">
        <f t="shared" ca="1" si="0"/>
        <v>46096</v>
      </c>
      <c r="AB7" s="17">
        <f t="shared" ca="1" si="0"/>
        <v>46097</v>
      </c>
      <c r="AC7" s="58">
        <f t="shared" ca="1" si="0"/>
        <v>46098</v>
      </c>
      <c r="AD7" s="17">
        <f ca="1">AC7+1</f>
        <v>46099</v>
      </c>
      <c r="AE7" s="17">
        <f ca="1">AD7+1</f>
        <v>46100</v>
      </c>
      <c r="AF7" s="17">
        <f t="shared" ca="1" si="0"/>
        <v>46101</v>
      </c>
      <c r="AG7" s="17">
        <f t="shared" ca="1" si="0"/>
        <v>46102</v>
      </c>
      <c r="AH7" s="17">
        <f t="shared" ca="1" si="0"/>
        <v>46103</v>
      </c>
      <c r="AI7" s="17">
        <f t="shared" ca="1" si="0"/>
        <v>46104</v>
      </c>
      <c r="AJ7" s="58">
        <f t="shared" ca="1" si="0"/>
        <v>46105</v>
      </c>
      <c r="AK7" s="17">
        <f ca="1">AJ7+1</f>
        <v>46106</v>
      </c>
      <c r="AL7" s="17">
        <f ca="1">AK7+1</f>
        <v>46107</v>
      </c>
      <c r="AM7" s="17">
        <f t="shared" ca="1" si="0"/>
        <v>46108</v>
      </c>
      <c r="AN7" s="17">
        <f t="shared" ca="1" si="0"/>
        <v>46109</v>
      </c>
      <c r="AO7" s="17">
        <f t="shared" ca="1" si="0"/>
        <v>46110</v>
      </c>
      <c r="AP7" s="17">
        <f t="shared" ca="1" si="0"/>
        <v>46111</v>
      </c>
      <c r="AQ7" s="58">
        <f t="shared" ca="1" si="0"/>
        <v>46112</v>
      </c>
      <c r="AR7" s="17">
        <f ca="1">AQ7+1</f>
        <v>46113</v>
      </c>
      <c r="AS7" s="17">
        <f ca="1">AR7+1</f>
        <v>46114</v>
      </c>
      <c r="AT7" s="17">
        <f t="shared" ca="1" si="0"/>
        <v>46115</v>
      </c>
      <c r="AU7" s="17">
        <f t="shared" ca="1" si="0"/>
        <v>46116</v>
      </c>
      <c r="AV7" s="17">
        <f t="shared" ca="1" si="0"/>
        <v>46117</v>
      </c>
      <c r="AW7" s="17">
        <f t="shared" ca="1" si="0"/>
        <v>46118</v>
      </c>
      <c r="AX7" s="58">
        <f t="shared" ca="1" si="0"/>
        <v>46119</v>
      </c>
      <c r="AY7" s="17">
        <f ca="1">AX7+1</f>
        <v>46120</v>
      </c>
      <c r="AZ7" s="17">
        <f ca="1">AY7+1</f>
        <v>46121</v>
      </c>
      <c r="BA7" s="17">
        <f t="shared" ref="BA7:BE7" ca="1" si="1">AZ7+1</f>
        <v>46122</v>
      </c>
      <c r="BB7" s="17">
        <f t="shared" ca="1" si="1"/>
        <v>46123</v>
      </c>
      <c r="BC7" s="17">
        <f t="shared" ca="1" si="1"/>
        <v>46124</v>
      </c>
      <c r="BD7" s="17">
        <f t="shared" ca="1" si="1"/>
        <v>46125</v>
      </c>
      <c r="BE7" s="58">
        <f t="shared" ca="1" si="1"/>
        <v>46126</v>
      </c>
      <c r="BF7" s="17">
        <f ca="1">BE7+1</f>
        <v>46127</v>
      </c>
      <c r="BG7" s="17">
        <f ca="1">BF7+1</f>
        <v>46128</v>
      </c>
      <c r="BH7" s="17">
        <f t="shared" ref="BH7:BL7" ca="1" si="2">BG7+1</f>
        <v>46129</v>
      </c>
      <c r="BI7" s="17">
        <f t="shared" ca="1" si="2"/>
        <v>46130</v>
      </c>
      <c r="BJ7" s="17">
        <f t="shared" ca="1" si="2"/>
        <v>46131</v>
      </c>
      <c r="BK7" s="17">
        <f t="shared" ca="1" si="2"/>
        <v>46132</v>
      </c>
      <c r="BL7" s="18">
        <f t="shared" ca="1" si="2"/>
        <v>46133</v>
      </c>
      <c r="BM7" s="28"/>
    </row>
    <row r="8" spans="1:68" ht="19.899999999999999" customHeight="1" x14ac:dyDescent="0.25">
      <c r="A8" s="10"/>
      <c r="B8" s="47"/>
      <c r="C8" s="47"/>
      <c r="D8" s="47"/>
      <c r="E8" s="25"/>
      <c r="F8" s="25"/>
      <c r="G8" s="25"/>
      <c r="H8" s="25"/>
      <c r="I8" s="36"/>
      <c r="J8" s="34"/>
      <c r="K8" s="34"/>
      <c r="L8" s="34"/>
      <c r="M8" s="34"/>
      <c r="N8" s="34"/>
      <c r="O8" s="34"/>
      <c r="P8" s="36"/>
      <c r="Q8" s="34"/>
      <c r="R8" s="34"/>
      <c r="S8" s="34"/>
      <c r="T8" s="34"/>
      <c r="U8" s="34"/>
      <c r="V8" s="34"/>
      <c r="W8" s="36"/>
      <c r="X8" s="34"/>
      <c r="Y8" s="34"/>
      <c r="Z8" s="34"/>
      <c r="AA8" s="34"/>
      <c r="AB8" s="34"/>
      <c r="AC8" s="34"/>
      <c r="AD8" s="36"/>
      <c r="AE8" s="34"/>
      <c r="AF8" s="34"/>
      <c r="AG8" s="34"/>
      <c r="AH8" s="34"/>
      <c r="AI8" s="34"/>
      <c r="AJ8" s="34"/>
      <c r="AK8" s="36"/>
      <c r="AL8" s="34"/>
      <c r="AM8" s="34"/>
      <c r="AN8" s="34"/>
      <c r="AO8" s="34"/>
      <c r="AP8" s="34"/>
      <c r="AQ8" s="34"/>
      <c r="AR8" s="36"/>
      <c r="AS8" s="34"/>
      <c r="AT8" s="34"/>
      <c r="AU8" s="34"/>
      <c r="AV8" s="34"/>
      <c r="AW8" s="34"/>
      <c r="AX8" s="34"/>
      <c r="AY8" s="36"/>
      <c r="AZ8" s="34"/>
      <c r="BA8" s="34"/>
      <c r="BB8" s="34"/>
      <c r="BC8" s="34"/>
      <c r="BD8" s="34"/>
      <c r="BE8" s="34"/>
      <c r="BF8" s="36"/>
      <c r="BG8" s="34"/>
      <c r="BH8" s="34"/>
      <c r="BI8" s="34"/>
      <c r="BJ8" s="34"/>
      <c r="BK8" s="34"/>
      <c r="BL8" s="35"/>
      <c r="BM8" s="28"/>
    </row>
    <row r="9" spans="1:68" ht="40.15" customHeight="1" x14ac:dyDescent="0.25">
      <c r="A9" s="10"/>
      <c r="B9" s="112" t="s">
        <v>23</v>
      </c>
      <c r="C9" s="113" t="s">
        <v>7</v>
      </c>
      <c r="D9" s="113" t="s">
        <v>24</v>
      </c>
      <c r="E9" s="113" t="s">
        <v>10</v>
      </c>
      <c r="F9" s="113" t="s">
        <v>11</v>
      </c>
      <c r="G9" s="113" t="s">
        <v>25</v>
      </c>
      <c r="H9" s="44"/>
      <c r="I9" s="33" t="str">
        <f ca="1">LEFT(TEXT(I7,"ddd"),1)</f>
        <v>W</v>
      </c>
      <c r="J9" s="33" t="str">
        <f ca="1">LEFT(TEXT(J7,"ddd"),1)</f>
        <v>T</v>
      </c>
      <c r="K9" s="33" t="str">
        <f ca="1">LEFT(TEXT(K7,"ddd"),1)</f>
        <v>F</v>
      </c>
      <c r="L9" s="33" t="str">
        <f ca="1">LEFT(TEXT(L7,"ddd"),1)</f>
        <v>S</v>
      </c>
      <c r="M9" s="33" t="str">
        <f ca="1">LEFT(TEXT(M7,"ddd"),1)</f>
        <v>S</v>
      </c>
      <c r="N9" s="33" t="str">
        <f ca="1">LEFT(TEXT(N7,"ddd"),1)</f>
        <v>M</v>
      </c>
      <c r="O9" s="33" t="str">
        <f ca="1">LEFT(TEXT(O7,"ddd"),1)</f>
        <v>T</v>
      </c>
      <c r="P9" s="33" t="str">
        <f ca="1">LEFT(TEXT(P7,"ddd"),1)</f>
        <v>W</v>
      </c>
      <c r="Q9" s="33" t="str">
        <f ca="1">LEFT(TEXT(Q7,"ddd"),1)</f>
        <v>T</v>
      </c>
      <c r="R9" s="33" t="str">
        <f ca="1">LEFT(TEXT(R7,"ddd"),1)</f>
        <v>F</v>
      </c>
      <c r="S9" s="33" t="str">
        <f ca="1">LEFT(TEXT(S7,"ddd"),1)</f>
        <v>S</v>
      </c>
      <c r="T9" s="33" t="str">
        <f ca="1">LEFT(TEXT(T7,"ddd"),1)</f>
        <v>S</v>
      </c>
      <c r="U9" s="33" t="str">
        <f ca="1">LEFT(TEXT(U7,"ddd"),1)</f>
        <v>M</v>
      </c>
      <c r="V9" s="33" t="str">
        <f ca="1">LEFT(TEXT(V7,"ddd"),1)</f>
        <v>T</v>
      </c>
      <c r="W9" s="33" t="str">
        <f ca="1">LEFT(TEXT(W7,"ddd"),1)</f>
        <v>W</v>
      </c>
      <c r="X9" s="33" t="str">
        <f ca="1">LEFT(TEXT(X7,"ddd"),1)</f>
        <v>T</v>
      </c>
      <c r="Y9" s="33" t="str">
        <f ca="1">LEFT(TEXT(Y7,"ddd"),1)</f>
        <v>F</v>
      </c>
      <c r="Z9" s="33" t="str">
        <f ca="1">LEFT(TEXT(Z7,"ddd"),1)</f>
        <v>S</v>
      </c>
      <c r="AA9" s="33" t="str">
        <f ca="1">LEFT(TEXT(AA7,"ddd"),1)</f>
        <v>S</v>
      </c>
      <c r="AB9" s="33" t="str">
        <f ca="1">LEFT(TEXT(AB7,"ddd"),1)</f>
        <v>M</v>
      </c>
      <c r="AC9" s="33" t="str">
        <f ca="1">LEFT(TEXT(AC7,"ddd"),1)</f>
        <v>T</v>
      </c>
      <c r="AD9" s="33" t="str">
        <f ca="1">LEFT(TEXT(AD7,"ddd"),1)</f>
        <v>W</v>
      </c>
      <c r="AE9" s="33" t="str">
        <f ca="1">LEFT(TEXT(AE7,"ddd"),1)</f>
        <v>T</v>
      </c>
      <c r="AF9" s="33" t="str">
        <f ca="1">LEFT(TEXT(AF7,"ddd"),1)</f>
        <v>F</v>
      </c>
      <c r="AG9" s="33" t="str">
        <f ca="1">LEFT(TEXT(AG7,"ddd"),1)</f>
        <v>S</v>
      </c>
      <c r="AH9" s="33" t="str">
        <f ca="1">LEFT(TEXT(AH7,"ddd"),1)</f>
        <v>S</v>
      </c>
      <c r="AI9" s="33" t="str">
        <f ca="1">LEFT(TEXT(AI7,"ddd"),1)</f>
        <v>M</v>
      </c>
      <c r="AJ9" s="33" t="str">
        <f ca="1">LEFT(TEXT(AJ7,"ddd"),1)</f>
        <v>T</v>
      </c>
      <c r="AK9" s="33" t="str">
        <f ca="1">LEFT(TEXT(AK7,"ddd"),1)</f>
        <v>W</v>
      </c>
      <c r="AL9" s="33" t="str">
        <f ca="1">LEFT(TEXT(AL7,"ddd"),1)</f>
        <v>T</v>
      </c>
      <c r="AM9" s="33" t="str">
        <f ca="1">LEFT(TEXT(AM7,"ddd"),1)</f>
        <v>F</v>
      </c>
      <c r="AN9" s="33" t="str">
        <f ca="1">LEFT(TEXT(AN7,"ddd"),1)</f>
        <v>S</v>
      </c>
      <c r="AO9" s="33" t="str">
        <f ca="1">LEFT(TEXT(AO7,"ddd"),1)</f>
        <v>S</v>
      </c>
      <c r="AP9" s="33" t="str">
        <f ca="1">LEFT(TEXT(AP7,"ddd"),1)</f>
        <v>M</v>
      </c>
      <c r="AQ9" s="33" t="str">
        <f ca="1">LEFT(TEXT(AQ7,"ddd"),1)</f>
        <v>T</v>
      </c>
      <c r="AR9" s="33" t="str">
        <f ca="1">LEFT(TEXT(AR7,"ddd"),1)</f>
        <v>W</v>
      </c>
      <c r="AS9" s="33" t="str">
        <f ca="1">LEFT(TEXT(AS7,"ddd"),1)</f>
        <v>T</v>
      </c>
      <c r="AT9" s="33" t="str">
        <f ca="1">LEFT(TEXT(AT7,"ddd"),1)</f>
        <v>F</v>
      </c>
      <c r="AU9" s="33" t="str">
        <f ca="1">LEFT(TEXT(AU7,"ddd"),1)</f>
        <v>S</v>
      </c>
      <c r="AV9" s="33" t="str">
        <f ca="1">LEFT(TEXT(AV7,"ddd"),1)</f>
        <v>S</v>
      </c>
      <c r="AW9" s="33" t="str">
        <f ca="1">LEFT(TEXT(AW7,"ddd"),1)</f>
        <v>M</v>
      </c>
      <c r="AX9" s="33" t="str">
        <f ca="1">LEFT(TEXT(AX7,"ddd"),1)</f>
        <v>T</v>
      </c>
      <c r="AY9" s="33" t="str">
        <f ca="1">LEFT(TEXT(AY7,"ddd"),1)</f>
        <v>W</v>
      </c>
      <c r="AZ9" s="33" t="str">
        <f ca="1">LEFT(TEXT(AZ7,"ddd"),1)</f>
        <v>T</v>
      </c>
      <c r="BA9" s="33" t="str">
        <f ca="1">LEFT(TEXT(BA7,"ddd"),1)</f>
        <v>F</v>
      </c>
      <c r="BB9" s="33" t="str">
        <f ca="1">LEFT(TEXT(BB7,"ddd"),1)</f>
        <v>S</v>
      </c>
      <c r="BC9" s="33" t="str">
        <f ca="1">LEFT(TEXT(BC7,"ddd"),1)</f>
        <v>S</v>
      </c>
      <c r="BD9" s="33" t="str">
        <f ca="1">LEFT(TEXT(BD7,"ddd"),1)</f>
        <v>M</v>
      </c>
      <c r="BE9" s="33" t="str">
        <f ca="1">LEFT(TEXT(BE7,"ddd"),1)</f>
        <v>T</v>
      </c>
      <c r="BF9" s="33" t="str">
        <f ca="1">LEFT(TEXT(BF7,"ddd"),1)</f>
        <v>W</v>
      </c>
      <c r="BG9" s="33" t="str">
        <f ca="1">LEFT(TEXT(BG7,"ddd"),1)</f>
        <v>T</v>
      </c>
      <c r="BH9" s="33" t="str">
        <f ca="1">LEFT(TEXT(BH7,"ddd"),1)</f>
        <v>F</v>
      </c>
      <c r="BI9" s="33" t="str">
        <f ca="1">LEFT(TEXT(BI7,"ddd"),1)</f>
        <v>S</v>
      </c>
      <c r="BJ9" s="33" t="str">
        <f ca="1">LEFT(TEXT(BJ7,"ddd"),1)</f>
        <v>S</v>
      </c>
      <c r="BK9" s="33" t="str">
        <f ca="1">LEFT(TEXT(BK7,"ddd"),1)</f>
        <v>M</v>
      </c>
      <c r="BL9" s="33" t="str">
        <f ca="1">LEFT(TEXT(BL7,"ddd"),1)</f>
        <v>T</v>
      </c>
      <c r="BM9" s="28"/>
    </row>
    <row r="10" spans="1:68" ht="30" hidden="1" customHeight="1" thickBot="1" x14ac:dyDescent="0.25">
      <c r="B10" s="12"/>
      <c r="C10" s="134"/>
      <c r="D10" s="12"/>
      <c r="E10" s="134"/>
      <c r="F10" s="135"/>
      <c r="G10" s="136"/>
      <c r="H10" s="28"/>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28"/>
    </row>
    <row r="11" spans="1:68" s="1" customFormat="1" ht="40.15" customHeight="1" x14ac:dyDescent="0.25">
      <c r="A11" s="10"/>
      <c r="B11" s="137" t="s">
        <v>38</v>
      </c>
      <c r="C11" s="21"/>
      <c r="D11" s="21" t="s">
        <v>40</v>
      </c>
      <c r="E11" s="138">
        <v>1</v>
      </c>
      <c r="F11" s="139">
        <v>46078</v>
      </c>
      <c r="G11" s="140">
        <v>25</v>
      </c>
      <c r="H11" s="43" t="str">
        <f ca="1">IF(AND($C11="Goal",I$7&gt;=$F11,I$7&lt;=$F11+$G11-1),2,IF(AND($C11="Milestone",I$7&gt;=$F11,I$7&lt;=$F11+$G11-1),1,""))</f>
        <v/>
      </c>
      <c r="I11" s="23" t="str">
        <f ca="1">IF(AND($C11="Goal",J$7&gt;=$F11,J$7&lt;=$F11+$G11-1),2,IF(AND($C11="Milestone",J$7&gt;=$F11,J$7&lt;=$F11+$G11-1),1,""))</f>
        <v/>
      </c>
      <c r="J11" s="23" t="str">
        <f ca="1">IF(AND($C11="Goal",K$7&gt;=$F11,K$7&lt;=$F11+$G11-1),2,IF(AND($C11="Milestone",K$7&gt;=$F11,K$7&lt;=$F11+$G11-1),1,""))</f>
        <v/>
      </c>
      <c r="K11" s="23" t="str">
        <f ca="1">IF(AND($C11="Goal",L$7&gt;=$F11,L$7&lt;=$F11+$G11-1),2,IF(AND($C11="Milestone",L$7&gt;=$F11,L$7&lt;=$F11+$G11-1),1,""))</f>
        <v/>
      </c>
      <c r="L11" s="23" t="str">
        <f ca="1">IF(AND($C11="Goal",M$7&gt;=$F11,M$7&lt;=$F11+$G11-1),2,IF(AND($C11="Milestone",M$7&gt;=$F11,M$7&lt;=$F11+$G11-1),1,""))</f>
        <v/>
      </c>
      <c r="M11" s="23" t="str">
        <f ca="1">IF(AND($C11="Goal",N$7&gt;=$F11,N$7&lt;=$F11+$G11-1),2,IF(AND($C11="Milestone",N$7&gt;=$F11,N$7&lt;=$F11+$G11-1),1,""))</f>
        <v/>
      </c>
      <c r="N11" s="23" t="str">
        <f ca="1">IF(AND($C11="Goal",O$7&gt;=$F11,O$7&lt;=$F11+$G11-1),2,IF(AND($C11="Milestone",O$7&gt;=$F11,O$7&lt;=$F11+$G11-1),1,""))</f>
        <v/>
      </c>
      <c r="O11" s="23" t="str">
        <f ca="1">IF(AND($C11="Goal",P$7&gt;=$F11,P$7&lt;=$F11+$G11-1),2,IF(AND($C11="Milestone",P$7&gt;=$F11,P$7&lt;=$F11+$G11-1),1,""))</f>
        <v/>
      </c>
      <c r="P11" s="23" t="str">
        <f ca="1">IF(AND($C11="Goal",Q$7&gt;=$F11,Q$7&lt;=$F11+$G11-1),2,IF(AND($C11="Milestone",Q$7&gt;=$F11,Q$7&lt;=$F11+$G11-1),1,""))</f>
        <v/>
      </c>
      <c r="Q11" s="23" t="str">
        <f ca="1">IF(AND($C11="Goal",R$7&gt;=$F11,R$7&lt;=$F11+$G11-1),2,IF(AND($C11="Milestone",R$7&gt;=$F11,R$7&lt;=$F11+$G11-1),1,""))</f>
        <v/>
      </c>
      <c r="R11" s="23" t="str">
        <f ca="1">IF(AND($C11="Goal",S$7&gt;=$F11,S$7&lt;=$F11+$G11-1),2,IF(AND($C11="Milestone",S$7&gt;=$F11,S$7&lt;=$F11+$G11-1),1,""))</f>
        <v/>
      </c>
      <c r="S11" s="23" t="str">
        <f ca="1">IF(AND($C11="Goal",T$7&gt;=$F11,T$7&lt;=$F11+$G11-1),2,IF(AND($C11="Milestone",T$7&gt;=$F11,T$7&lt;=$F11+$G11-1),1,""))</f>
        <v/>
      </c>
      <c r="T11" s="23" t="str">
        <f ca="1">IF(AND($C11="Goal",U$7&gt;=$F11,U$7&lt;=$F11+$G11-1),2,IF(AND($C11="Milestone",U$7&gt;=$F11,U$7&lt;=$F11+$G11-1),1,""))</f>
        <v/>
      </c>
      <c r="U11" s="23" t="str">
        <f ca="1">IF(AND($C11="Goal",V$7&gt;=$F11,V$7&lt;=$F11+$G11-1),2,IF(AND($C11="Milestone",V$7&gt;=$F11,V$7&lt;=$F11+$G11-1),1,""))</f>
        <v/>
      </c>
      <c r="V11" s="23" t="str">
        <f ca="1">IF(AND($C11="Goal",W$7&gt;=$F11,W$7&lt;=$F11+$G11-1),2,IF(AND($C11="Milestone",W$7&gt;=$F11,W$7&lt;=$F11+$G11-1),1,""))</f>
        <v/>
      </c>
      <c r="W11" s="23" t="str">
        <f ca="1">IF(AND($C11="Goal",X$7&gt;=$F11,X$7&lt;=$F11+$G11-1),2,IF(AND($C11="Milestone",X$7&gt;=$F11,X$7&lt;=$F11+$G11-1),1,""))</f>
        <v/>
      </c>
      <c r="X11" s="23" t="str">
        <f ca="1">IF(AND($C11="Goal",Y$7&gt;=$F11,Y$7&lt;=$F11+$G11-1),2,IF(AND($C11="Milestone",Y$7&gt;=$F11,Y$7&lt;=$F11+$G11-1),1,""))</f>
        <v/>
      </c>
      <c r="Y11" s="23" t="str">
        <f ca="1">IF(AND($C11="Goal",Z$7&gt;=$F11,Z$7&lt;=$F11+$G11-1),2,IF(AND($C11="Milestone",Z$7&gt;=$F11,Z$7&lt;=$F11+$G11-1),1,""))</f>
        <v/>
      </c>
      <c r="Z11" s="23" t="str">
        <f ca="1">IF(AND($C11="Goal",AA$7&gt;=$F11,AA$7&lt;=$F11+$G11-1),2,IF(AND($C11="Milestone",AA$7&gt;=$F11,AA$7&lt;=$F11+$G11-1),1,""))</f>
        <v/>
      </c>
      <c r="AA11" s="23" t="str">
        <f ca="1">IF(AND($C11="Goal",AB$7&gt;=$F11,AB$7&lt;=$F11+$G11-1),2,IF(AND($C11="Milestone",AB$7&gt;=$F11,AB$7&lt;=$F11+$G11-1),1,""))</f>
        <v/>
      </c>
      <c r="AB11" s="23" t="str">
        <f ca="1">IF(AND($C11="Goal",AC$7&gt;=$F11,AC$7&lt;=$F11+$G11-1),2,IF(AND($C11="Milestone",AC$7&gt;=$F11,AC$7&lt;=$F11+$G11-1),1,""))</f>
        <v/>
      </c>
      <c r="AC11" s="23" t="str">
        <f ca="1">IF(AND($C11="Goal",AD$7&gt;=$F11,AD$7&lt;=$F11+$G11-1),2,IF(AND($C11="Milestone",AD$7&gt;=$F11,AD$7&lt;=$F11+$G11-1),1,""))</f>
        <v/>
      </c>
      <c r="AD11" s="23" t="str">
        <f ca="1">IF(AND($C11="Goal",AE$7&gt;=$F11,AE$7&lt;=$F11+$G11-1),2,IF(AND($C11="Milestone",AE$7&gt;=$F11,AE$7&lt;=$F11+$G11-1),1,""))</f>
        <v/>
      </c>
      <c r="AE11" s="23" t="str">
        <f ca="1">IF(AND($C11="Goal",AF$7&gt;=$F11,AF$7&lt;=$F11+$G11-1),2,IF(AND($C11="Milestone",AF$7&gt;=$F11,AF$7&lt;=$F11+$G11-1),1,""))</f>
        <v/>
      </c>
      <c r="AG11" s="23" t="str">
        <f ca="1">IF(AND($C11="Goal",AG$7&gt;=$F11,AG$7&lt;=$F11+$G11-1),2,IF(AND($C11="Milestone",AG$7&gt;=$F11,AG$7&lt;=$F11+$G11-1),1,""))</f>
        <v/>
      </c>
      <c r="AH11" s="23" t="str">
        <f ca="1">IF(AND($C11="Goal",AH$7&gt;=$F11,AH$7&lt;=$F11+$G11-1),2,IF(AND($C11="Milestone",AH$7&gt;=$F11,AH$7&lt;=$F11+$G11-1),1,""))</f>
        <v/>
      </c>
      <c r="AI11" s="23" t="str">
        <f ca="1">IF(AND($C11="Goal",AI$7&gt;=$F11,AI$7&lt;=$F11+$G11-1),2,IF(AND($C11="Milestone",AI$7&gt;=$F11,AI$7&lt;=$F11+$G11-1),1,""))</f>
        <v/>
      </c>
      <c r="AJ11" s="23" t="str">
        <f ca="1">IF(AND($C11="Goal",AJ$7&gt;=$F11,AJ$7&lt;=$F11+$G11-1),2,IF(AND($C11="Milestone",AJ$7&gt;=$F11,AJ$7&lt;=$F11+$G11-1),1,""))</f>
        <v/>
      </c>
      <c r="AK11" s="23" t="str">
        <f ca="1">IF(AND($C11="Goal",AK$7&gt;=$F11,AK$7&lt;=$F11+$G11-1),2,IF(AND($C11="Milestone",AK$7&gt;=$F11,AK$7&lt;=$F11+$G11-1),1,""))</f>
        <v/>
      </c>
      <c r="AL11" s="23" t="str">
        <f ca="1">IF(AND($C11="Goal",AL$7&gt;=$F11,AL$7&lt;=$F11+$G11-1),2,IF(AND($C11="Milestone",AL$7&gt;=$F11,AL$7&lt;=$F11+$G11-1),1,""))</f>
        <v/>
      </c>
      <c r="AM11" s="23" t="str">
        <f ca="1">IF(AND($C11="Goal",AM$7&gt;=$F11,AM$7&lt;=$F11+$G11-1),2,IF(AND($C11="Milestone",AM$7&gt;=$F11,AM$7&lt;=$F11+$G11-1),1,""))</f>
        <v/>
      </c>
      <c r="AN11" s="23" t="str">
        <f ca="1">IF(AND($C11="Goal",AN$7&gt;=$F11,AN$7&lt;=$F11+$G11-1),2,IF(AND($C11="Milestone",AN$7&gt;=$F11,AN$7&lt;=$F11+$G11-1),1,""))</f>
        <v/>
      </c>
      <c r="AO11" s="23" t="str">
        <f ca="1">IF(AND($C11="Goal",AO$7&gt;=$F11,AO$7&lt;=$F11+$G11-1),2,IF(AND($C11="Milestone",AO$7&gt;=$F11,AO$7&lt;=$F11+$G11-1),1,""))</f>
        <v/>
      </c>
      <c r="AP11" s="23" t="str">
        <f ca="1">IF(AND($C11="Goal",AP$7&gt;=$F11,AP$7&lt;=$F11+$G11-1),2,IF(AND($C11="Milestone",AP$7&gt;=$F11,AP$7&lt;=$F11+$G11-1),1,""))</f>
        <v/>
      </c>
      <c r="AQ11" s="23" t="str">
        <f ca="1">IF(AND($C11="Goal",AQ$7&gt;=$F11,AQ$7&lt;=$F11+$G11-1),2,IF(AND($C11="Milestone",AQ$7&gt;=$F11,AQ$7&lt;=$F11+$G11-1),1,""))</f>
        <v/>
      </c>
      <c r="AR11" s="23" t="str">
        <f ca="1">IF(AND($C11="Goal",AR$7&gt;=$F11,AR$7&lt;=$F11+$G11-1),2,IF(AND($C11="Milestone",AR$7&gt;=$F11,AR$7&lt;=$F11+$G11-1),1,""))</f>
        <v/>
      </c>
      <c r="AS11" s="23" t="str">
        <f ca="1">IF(AND($C11="Goal",AS$7&gt;=$F11,AS$7&lt;=$F11+$G11-1),2,IF(AND($C11="Milestone",AS$7&gt;=$F11,AS$7&lt;=$F11+$G11-1),1,""))</f>
        <v/>
      </c>
      <c r="AT11" s="23" t="str">
        <f ca="1">IF(AND($C11="Goal",AT$7&gt;=$F11,AT$7&lt;=$F11+$G11-1),2,IF(AND($C11="Milestone",AT$7&gt;=$F11,AT$7&lt;=$F11+$G11-1),1,""))</f>
        <v/>
      </c>
      <c r="AU11" s="23" t="str">
        <f ca="1">IF(AND($C11="Goal",AU$7&gt;=$F11,AU$7&lt;=$F11+$G11-1),2,IF(AND($C11="Milestone",AU$7&gt;=$F11,AU$7&lt;=$F11+$G11-1),1,""))</f>
        <v/>
      </c>
      <c r="AV11" s="23" t="str">
        <f ca="1">IF(AND($C11="Goal",AV$7&gt;=$F11,AV$7&lt;=$F11+$G11-1),2,IF(AND($C11="Milestone",AV$7&gt;=$F11,AV$7&lt;=$F11+$G11-1),1,""))</f>
        <v/>
      </c>
      <c r="AW11" s="23" t="str">
        <f ca="1">IF(AND($C11="Goal",AW$7&gt;=$F11,AW$7&lt;=$F11+$G11-1),2,IF(AND($C11="Milestone",AW$7&gt;=$F11,AW$7&lt;=$F11+$G11-1),1,""))</f>
        <v/>
      </c>
      <c r="AX11" s="23" t="str">
        <f ca="1">IF(AND($C11="Goal",AX$7&gt;=$F11,AX$7&lt;=$F11+$G11-1),2,IF(AND($C11="Milestone",AX$7&gt;=$F11,AX$7&lt;=$F11+$G11-1),1,""))</f>
        <v/>
      </c>
      <c r="AY11" s="23" t="str">
        <f ca="1">IF(AND($C11="Goal",AY$7&gt;=$F11,AY$7&lt;=$F11+$G11-1),2,IF(AND($C11="Milestone",AY$7&gt;=$F11,AY$7&lt;=$F11+$G11-1),1,""))</f>
        <v/>
      </c>
      <c r="AZ11" s="23" t="str">
        <f ca="1">IF(AND($C11="Goal",AZ$7&gt;=$F11,AZ$7&lt;=$F11+$G11-1),2,IF(AND($C11="Milestone",AZ$7&gt;=$F11,AZ$7&lt;=$F11+$G11-1),1,""))</f>
        <v/>
      </c>
      <c r="BA11" s="23" t="str">
        <f ca="1">IF(AND($C11="Goal",BA$7&gt;=$F11,BA$7&lt;=$F11+$G11-1),2,IF(AND($C11="Milestone",BA$7&gt;=$F11,BA$7&lt;=$F11+$G11-1),1,""))</f>
        <v/>
      </c>
      <c r="BB11" s="23" t="str">
        <f ca="1">IF(AND($C11="Goal",BB$7&gt;=$F11,BB$7&lt;=$F11+$G11-1),2,IF(AND($C11="Milestone",BB$7&gt;=$F11,BB$7&lt;=$F11+$G11-1),1,""))</f>
        <v/>
      </c>
      <c r="BC11" s="23" t="str">
        <f ca="1">IF(AND($C11="Goal",BC$7&gt;=$F11,BC$7&lt;=$F11+$G11-1),2,IF(AND($C11="Milestone",BC$7&gt;=$F11,BC$7&lt;=$F11+$G11-1),1,""))</f>
        <v/>
      </c>
      <c r="BD11" s="23" t="str">
        <f ca="1">IF(AND($C11="Goal",BD$7&gt;=$F11,BD$7&lt;=$F11+$G11-1),2,IF(AND($C11="Milestone",BD$7&gt;=$F11,BD$7&lt;=$F11+$G11-1),1,""))</f>
        <v/>
      </c>
      <c r="BE11" s="23" t="str">
        <f ca="1">IF(AND($C11="Goal",BE$7&gt;=$F11,BE$7&lt;=$F11+$G11-1),2,IF(AND($C11="Milestone",BE$7&gt;=$F11,BE$7&lt;=$F11+$G11-1),1,""))</f>
        <v/>
      </c>
      <c r="BF11" s="23" t="str">
        <f ca="1">IF(AND($C11="Goal",BF$7&gt;=$F11,BF$7&lt;=$F11+$G11-1),2,IF(AND($C11="Milestone",BF$7&gt;=$F11,BF$7&lt;=$F11+$G11-1),1,""))</f>
        <v/>
      </c>
      <c r="BG11" s="23" t="str">
        <f ca="1">IF(AND($C11="Goal",BG$7&gt;=$F11,BG$7&lt;=$F11+$G11-1),2,IF(AND($C11="Milestone",BG$7&gt;=$F11,BG$7&lt;=$F11+$G11-1),1,""))</f>
        <v/>
      </c>
      <c r="BH11" s="23" t="str">
        <f ca="1">IF(AND($C11="Goal",BH$7&gt;=$F11,BH$7&lt;=$F11+$G11-1),2,IF(AND($C11="Milestone",BH$7&gt;=$F11,BH$7&lt;=$F11+$G11-1),1,""))</f>
        <v/>
      </c>
      <c r="BI11" s="23" t="str">
        <f ca="1">IF(AND($C11="Goal",BI$7&gt;=$F11,BI$7&lt;=$F11+$G11-1),2,IF(AND($C11="Milestone",BI$7&gt;=$F11,BI$7&lt;=$F11+$G11-1),1,""))</f>
        <v/>
      </c>
      <c r="BJ11" s="23" t="str">
        <f ca="1">IF(AND($C11="Goal",BJ$7&gt;=$F11,BJ$7&lt;=$F11+$G11-1),2,IF(AND($C11="Milestone",BJ$7&gt;=$F11,BJ$7&lt;=$F11+$G11-1),1,""))</f>
        <v/>
      </c>
      <c r="BK11" s="23" t="str">
        <f ca="1">IF(AND($C11="Goal",BK$7&gt;=$F11,BK$7&lt;=$F11+$G11-1),2,IF(AND($C11="Milestone",BK$7&gt;=$F11,BK$7&lt;=$F11+$G11-1),1,""))</f>
        <v/>
      </c>
      <c r="BL11" s="23" t="str">
        <f ca="1">IF(AND($C11="Goal",BL$7&gt;=$F11,BL$7&lt;=$F11+$G11-1),2,IF(AND($C11="Milestone",BL$7&gt;=$F11,BL$7&lt;=$F11+$G11-1),1,""))</f>
        <v/>
      </c>
      <c r="BM11" s="24"/>
      <c r="BP11" s="37"/>
    </row>
    <row r="12" spans="1:68" s="1" customFormat="1" ht="40.15" customHeight="1" x14ac:dyDescent="0.25">
      <c r="A12" s="10"/>
      <c r="B12" s="133" t="s">
        <v>39</v>
      </c>
      <c r="C12" s="21" t="s">
        <v>8</v>
      </c>
      <c r="D12" s="21" t="s">
        <v>40</v>
      </c>
      <c r="E12" s="138">
        <v>1</v>
      </c>
      <c r="F12" s="139">
        <f ca="1">TODAY()</f>
        <v>46113</v>
      </c>
      <c r="G12" s="140">
        <v>3</v>
      </c>
      <c r="H12" s="19"/>
      <c r="I12" s="43" t="str">
        <f ca="1">IF(AND($C12="Goal",I$7&gt;=$F12,I$7&lt;=$F12+$G12-1),2,IF(AND($C12="Milestone",I$7&gt;=$F12,I$7&lt;=$F12+$G12-1),1,""))</f>
        <v/>
      </c>
      <c r="J12" s="23" t="str">
        <f ca="1">IF(AND($C12="Goal",J$7&gt;=$F12,J$7&lt;=$F12+$G12-1),2,IF(AND($C12="Milestone",J$7&gt;=$F12,J$7&lt;=$F12+$G12-1),1,""))</f>
        <v/>
      </c>
      <c r="K12" s="23" t="str">
        <f ca="1">IF(AND($C12="Goal",K$7&gt;=$F12,K$7&lt;=$F12+$G12-1),2,IF(AND($C12="Milestone",K$7&gt;=$F12,K$7&lt;=$F12+$G12-1),1,""))</f>
        <v/>
      </c>
      <c r="L12" s="23" t="str">
        <f ca="1">IF(AND($C12="Goal",L$7&gt;=$F12,L$7&lt;=$F12+$G12-1),2,IF(AND($C12="Milestone",L$7&gt;=$F12,L$7&lt;=$F12+$G12-1),1,""))</f>
        <v/>
      </c>
      <c r="M12" s="23" t="str">
        <f ca="1">IF(AND($C12="Goal",M$7&gt;=$F12,M$7&lt;=$F12+$G12-1),2,IF(AND($C12="Milestone",M$7&gt;=$F12,M$7&lt;=$F12+$G12-1),1,""))</f>
        <v/>
      </c>
      <c r="N12" s="23" t="str">
        <f ca="1">IF(AND($C12="Goal",N$7&gt;=$F12,N$7&lt;=$F12+$G12-1),2,IF(AND($C12="Milestone",N$7&gt;=$F12,N$7&lt;=$F12+$G12-1),1,""))</f>
        <v/>
      </c>
      <c r="O12" s="23" t="str">
        <f ca="1">IF(AND($C12="Goal",O$7&gt;=$F12,O$7&lt;=$F12+$G12-1),2,IF(AND($C12="Milestone",O$7&gt;=$F12,O$7&lt;=$F12+$G12-1),1,""))</f>
        <v/>
      </c>
      <c r="P12" s="23" t="str">
        <f ca="1">IF(AND($C12="Goal",P$7&gt;=$F12,P$7&lt;=$F12+$G12-1),2,IF(AND($C12="Milestone",P$7&gt;=$F12,P$7&lt;=$F12+$G12-1),1,""))</f>
        <v/>
      </c>
      <c r="Q12" s="23" t="str">
        <f ca="1">IF(AND($C12="Goal",Q$7&gt;=$F12,Q$7&lt;=$F12+$G12-1),2,IF(AND($C12="Milestone",Q$7&gt;=$F12,Q$7&lt;=$F12+$G12-1),1,""))</f>
        <v/>
      </c>
      <c r="R12" s="23" t="str">
        <f ca="1">IF(AND($C12="Goal",R$7&gt;=$F12,R$7&lt;=$F12+$G12-1),2,IF(AND($C12="Milestone",R$7&gt;=$F12,R$7&lt;=$F12+$G12-1),1,""))</f>
        <v/>
      </c>
      <c r="S12" s="23" t="str">
        <f ca="1">IF(AND($C12="Goal",S$7&gt;=$F12,S$7&lt;=$F12+$G12-1),2,IF(AND($C12="Milestone",S$7&gt;=$F12,S$7&lt;=$F12+$G12-1),1,""))</f>
        <v/>
      </c>
      <c r="T12" s="23" t="str">
        <f ca="1">IF(AND($C12="Goal",T$7&gt;=$F12,T$7&lt;=$F12+$G12-1),2,IF(AND($C12="Milestone",T$7&gt;=$F12,T$7&lt;=$F12+$G12-1),1,""))</f>
        <v/>
      </c>
      <c r="U12" s="23" t="str">
        <f ca="1">IF(AND($C12="Goal",U$7&gt;=$F12,U$7&lt;=$F12+$G12-1),2,IF(AND($C12="Milestone",U$7&gt;=$F12,U$7&lt;=$F12+$G12-1),1,""))</f>
        <v/>
      </c>
      <c r="V12" s="23" t="str">
        <f ca="1">IF(AND($C12="Goal",V$7&gt;=$F12,V$7&lt;=$F12+$G12-1),2,IF(AND($C12="Milestone",V$7&gt;=$F12,V$7&lt;=$F12+$G12-1),1,""))</f>
        <v/>
      </c>
      <c r="W12" s="23" t="str">
        <f ca="1">IF(AND($C12="Goal",W$7&gt;=$F12,W$7&lt;=$F12+$G12-1),2,IF(AND($C12="Milestone",W$7&gt;=$F12,W$7&lt;=$F12+$G12-1),1,""))</f>
        <v/>
      </c>
      <c r="X12" s="23" t="str">
        <f ca="1">IF(AND($C12="Goal",X$7&gt;=$F12,X$7&lt;=$F12+$G12-1),2,IF(AND($C12="Milestone",X$7&gt;=$F12,X$7&lt;=$F12+$G12-1),1,""))</f>
        <v/>
      </c>
      <c r="Y12" s="23" t="str">
        <f ca="1">IF(AND($C12="Goal",Y$7&gt;=$F12,Y$7&lt;=$F12+$G12-1),2,IF(AND($C12="Milestone",Y$7&gt;=$F12,Y$7&lt;=$F12+$G12-1),1,""))</f>
        <v/>
      </c>
      <c r="Z12" s="23" t="str">
        <f ca="1">IF(AND($C12="Goal",Z$7&gt;=$F12,Z$7&lt;=$F12+$G12-1),2,IF(AND($C12="Milestone",Z$7&gt;=$F12,Z$7&lt;=$F12+$G12-1),1,""))</f>
        <v/>
      </c>
      <c r="AA12" s="23" t="str">
        <f ca="1">IF(AND($C12="Goal",AA$7&gt;=$F12,AA$7&lt;=$F12+$G12-1),2,IF(AND($C12="Milestone",AA$7&gt;=$F12,AA$7&lt;=$F12+$G12-1),1,""))</f>
        <v/>
      </c>
      <c r="AB12" s="23" t="str">
        <f ca="1">IF(AND($C12="Goal",AB$7&gt;=$F12,AB$7&lt;=$F12+$G12-1),2,IF(AND($C12="Milestone",AB$7&gt;=$F12,AB$7&lt;=$F12+$G12-1),1,""))</f>
        <v/>
      </c>
      <c r="AC12" s="23" t="str">
        <f ca="1">IF(AND($C12="Goal",AC$7&gt;=$F12,AC$7&lt;=$F12+$G12-1),2,IF(AND($C12="Milestone",AC$7&gt;=$F12,AC$7&lt;=$F12+$G12-1),1,""))</f>
        <v/>
      </c>
      <c r="AD12" s="23" t="str">
        <f ca="1">IF(AND($C12="Goal",AD$7&gt;=$F12,AD$7&lt;=$F12+$G12-1),2,IF(AND($C12="Milestone",AD$7&gt;=$F12,AD$7&lt;=$F12+$G12-1),1,""))</f>
        <v/>
      </c>
      <c r="AE12" s="23" t="str">
        <f ca="1">IF(AND($C12="Goal",AE$7&gt;=$F12,AE$7&lt;=$F12+$G12-1),2,IF(AND($C12="Milestone",AE$7&gt;=$F12,AE$7&lt;=$F12+$G12-1),1,""))</f>
        <v/>
      </c>
      <c r="AF12" s="23" t="str">
        <f ca="1">IF(AND($C12="Goal",AF$7&gt;=$F12,AF$7&lt;=$F12+$G12-1),2,IF(AND($C12="Milestone",AF$7&gt;=$F12,AF$7&lt;=$F12+$G12-1),1,""))</f>
        <v/>
      </c>
      <c r="AG12" s="23" t="str">
        <f ca="1">IF(AND($C12="Goal",AG$7&gt;=$F12,AG$7&lt;=$F12+$G12-1),2,IF(AND($C12="Milestone",AG$7&gt;=$F12,AG$7&lt;=$F12+$G12-1),1,""))</f>
        <v/>
      </c>
      <c r="AH12" s="23" t="str">
        <f ca="1">IF(AND($C12="Goal",AH$7&gt;=$F12,AH$7&lt;=$F12+$G12-1),2,IF(AND($C12="Milestone",AH$7&gt;=$F12,AH$7&lt;=$F12+$G12-1),1,""))</f>
        <v/>
      </c>
      <c r="AI12" s="23" t="str">
        <f ca="1">IF(AND($C12="Goal",AI$7&gt;=$F12,AI$7&lt;=$F12+$G12-1),2,IF(AND($C12="Milestone",AI$7&gt;=$F12,AI$7&lt;=$F12+$G12-1),1,""))</f>
        <v/>
      </c>
      <c r="AJ12" s="23" t="str">
        <f ca="1">IF(AND($C12="Goal",AJ$7&gt;=$F12,AJ$7&lt;=$F12+$G12-1),2,IF(AND($C12="Milestone",AJ$7&gt;=$F12,AJ$7&lt;=$F12+$G12-1),1,""))</f>
        <v/>
      </c>
      <c r="AK12" s="23" t="str">
        <f ca="1">IF(AND($C12="Goal",AK$7&gt;=$F12,AK$7&lt;=$F12+$G12-1),2,IF(AND($C12="Milestone",AK$7&gt;=$F12,AK$7&lt;=$F12+$G12-1),1,""))</f>
        <v/>
      </c>
      <c r="AL12" s="23" t="str">
        <f ca="1">IF(AND($C12="Goal",AL$7&gt;=$F12,AL$7&lt;=$F12+$G12-1),2,IF(AND($C12="Milestone",AL$7&gt;=$F12,AL$7&lt;=$F12+$G12-1),1,""))</f>
        <v/>
      </c>
      <c r="AM12" s="23" t="str">
        <f ca="1">IF(AND($C12="Goal",AM$7&gt;=$F12,AM$7&lt;=$F12+$G12-1),2,IF(AND($C12="Milestone",AM$7&gt;=$F12,AM$7&lt;=$F12+$G12-1),1,""))</f>
        <v/>
      </c>
      <c r="AN12" s="23" t="str">
        <f ca="1">IF(AND($C12="Goal",AN$7&gt;=$F12,AN$7&lt;=$F12+$G12-1),2,IF(AND($C12="Milestone",AN$7&gt;=$F12,AN$7&lt;=$F12+$G12-1),1,""))</f>
        <v/>
      </c>
      <c r="AO12" s="23" t="str">
        <f ca="1">IF(AND($C12="Goal",AO$7&gt;=$F12,AO$7&lt;=$F12+$G12-1),2,IF(AND($C12="Milestone",AO$7&gt;=$F12,AO$7&lt;=$F12+$G12-1),1,""))</f>
        <v/>
      </c>
      <c r="AP12" s="23" t="str">
        <f ca="1">IF(AND($C12="Goal",AP$7&gt;=$F12,AP$7&lt;=$F12+$G12-1),2,IF(AND($C12="Milestone",AP$7&gt;=$F12,AP$7&lt;=$F12+$G12-1),1,""))</f>
        <v/>
      </c>
      <c r="AQ12" s="23" t="str">
        <f ca="1">IF(AND($C12="Goal",AQ$7&gt;=$F12,AQ$7&lt;=$F12+$G12-1),2,IF(AND($C12="Milestone",AQ$7&gt;=$F12,AQ$7&lt;=$F12+$G12-1),1,""))</f>
        <v/>
      </c>
      <c r="AR12" s="23">
        <f ca="1">IF(AND($C12="Goal",AR$7&gt;=$F12,AR$7&lt;=$F12+$G12-1),2,IF(AND($C12="Milestone",AR$7&gt;=$F12,AR$7&lt;=$F12+$G12-1),1,""))</f>
        <v>2</v>
      </c>
      <c r="AS12" s="23">
        <f ca="1">IF(AND($C12="Goal",AS$7&gt;=$F12,AS$7&lt;=$F12+$G12-1),2,IF(AND($C12="Milestone",AS$7&gt;=$F12,AS$7&lt;=$F12+$G12-1),1,""))</f>
        <v>2</v>
      </c>
      <c r="AT12" s="23">
        <f ca="1">IF(AND($C12="Goal",AT$7&gt;=$F12,AT$7&lt;=$F12+$G12-1),2,IF(AND($C12="Milestone",AT$7&gt;=$F12,AT$7&lt;=$F12+$G12-1),1,""))</f>
        <v>2</v>
      </c>
      <c r="AU12" s="23" t="str">
        <f ca="1">IF(AND($C12="Goal",AU$7&gt;=$F12,AU$7&lt;=$F12+$G12-1),2,IF(AND($C12="Milestone",AU$7&gt;=$F12,AU$7&lt;=$F12+$G12-1),1,""))</f>
        <v/>
      </c>
      <c r="AV12" s="23" t="str">
        <f ca="1">IF(AND($C12="Goal",AV$7&gt;=$F12,AV$7&lt;=$F12+$G12-1),2,IF(AND($C12="Milestone",AV$7&gt;=$F12,AV$7&lt;=$F12+$G12-1),1,""))</f>
        <v/>
      </c>
      <c r="AW12" s="23" t="str">
        <f ca="1">IF(AND($C12="Goal",AW$7&gt;=$F12,AW$7&lt;=$F12+$G12-1),2,IF(AND($C12="Milestone",AW$7&gt;=$F12,AW$7&lt;=$F12+$G12-1),1,""))</f>
        <v/>
      </c>
      <c r="AX12" s="23" t="str">
        <f ca="1">IF(AND($C12="Goal",AX$7&gt;=$F12,AX$7&lt;=$F12+$G12-1),2,IF(AND($C12="Milestone",AX$7&gt;=$F12,AX$7&lt;=$F12+$G12-1),1,""))</f>
        <v/>
      </c>
      <c r="AY12" s="23" t="str">
        <f ca="1">IF(AND($C12="Goal",AY$7&gt;=$F12,AY$7&lt;=$F12+$G12-1),2,IF(AND($C12="Milestone",AY$7&gt;=$F12,AY$7&lt;=$F12+$G12-1),1,""))</f>
        <v/>
      </c>
      <c r="AZ12" s="23" t="str">
        <f ca="1">IF(AND($C12="Goal",AZ$7&gt;=$F12,AZ$7&lt;=$F12+$G12-1),2,IF(AND($C12="Milestone",AZ$7&gt;=$F12,AZ$7&lt;=$F12+$G12-1),1,""))</f>
        <v/>
      </c>
      <c r="BA12" s="23" t="str">
        <f ca="1">IF(AND($C12="Goal",BA$7&gt;=$F12,BA$7&lt;=$F12+$G12-1),2,IF(AND($C12="Milestone",BA$7&gt;=$F12,BA$7&lt;=$F12+$G12-1),1,""))</f>
        <v/>
      </c>
      <c r="BB12" s="23" t="str">
        <f ca="1">IF(AND($C12="Goal",BB$7&gt;=$F12,BB$7&lt;=$F12+$G12-1),2,IF(AND($C12="Milestone",BB$7&gt;=$F12,BB$7&lt;=$F12+$G12-1),1,""))</f>
        <v/>
      </c>
      <c r="BC12" s="23" t="str">
        <f ca="1">IF(AND($C12="Goal",BC$7&gt;=$F12,BC$7&lt;=$F12+$G12-1),2,IF(AND($C12="Milestone",BC$7&gt;=$F12,BC$7&lt;=$F12+$G12-1),1,""))</f>
        <v/>
      </c>
      <c r="BD12" s="23" t="str">
        <f ca="1">IF(AND($C12="Goal",BD$7&gt;=$F12,BD$7&lt;=$F12+$G12-1),2,IF(AND($C12="Milestone",BD$7&gt;=$F12,BD$7&lt;=$F12+$G12-1),1,""))</f>
        <v/>
      </c>
      <c r="BE12" s="23" t="str">
        <f ca="1">IF(AND($C12="Goal",BE$7&gt;=$F12,BE$7&lt;=$F12+$G12-1),2,IF(AND($C12="Milestone",BE$7&gt;=$F12,BE$7&lt;=$F12+$G12-1),1,""))</f>
        <v/>
      </c>
      <c r="BF12" s="23" t="str">
        <f ca="1">IF(AND($C12="Goal",BF$7&gt;=$F12,BF$7&lt;=$F12+$G12-1),2,IF(AND($C12="Milestone",BF$7&gt;=$F12,BF$7&lt;=$F12+$G12-1),1,""))</f>
        <v/>
      </c>
      <c r="BG12" s="23" t="str">
        <f ca="1">IF(AND($C12="Goal",BG$7&gt;=$F12,BG$7&lt;=$F12+$G12-1),2,IF(AND($C12="Milestone",BG$7&gt;=$F12,BG$7&lt;=$F12+$G12-1),1,""))</f>
        <v/>
      </c>
      <c r="BH12" s="23" t="str">
        <f ca="1">IF(AND($C12="Goal",BH$7&gt;=$F12,BH$7&lt;=$F12+$G12-1),2,IF(AND($C12="Milestone",BH$7&gt;=$F12,BH$7&lt;=$F12+$G12-1),1,""))</f>
        <v/>
      </c>
      <c r="BI12" s="23" t="str">
        <f ca="1">IF(AND($C12="Goal",BI$7&gt;=$F12,BI$7&lt;=$F12+$G12-1),2,IF(AND($C12="Milestone",BI$7&gt;=$F12,BI$7&lt;=$F12+$G12-1),1,""))</f>
        <v/>
      </c>
      <c r="BJ12" s="23" t="str">
        <f ca="1">IF(AND($C12="Goal",BJ$7&gt;=$F12,BJ$7&lt;=$F12+$G12-1),2,IF(AND($C12="Milestone",BJ$7&gt;=$F12,BJ$7&lt;=$F12+$G12-1),1,""))</f>
        <v/>
      </c>
      <c r="BK12" s="23" t="str">
        <f ca="1">IF(AND($C12="Goal",BK$7&gt;=$F12,BK$7&lt;=$F12+$G12-1),2,IF(AND($C12="Milestone",BK$7&gt;=$F12,BK$7&lt;=$F12+$G12-1),1,""))</f>
        <v/>
      </c>
      <c r="BL12" s="23" t="str">
        <f ca="1">IF(AND($C12="Goal",BL$7&gt;=$F12,BL$7&lt;=$F12+$G12-1),2,IF(AND($C12="Milestone",BL$7&gt;=$F12,BL$7&lt;=$F12+$G12-1),1,""))</f>
        <v/>
      </c>
      <c r="BM12" s="24"/>
    </row>
    <row r="13" spans="1:68" s="1" customFormat="1" ht="40.15" customHeight="1" x14ac:dyDescent="0.25">
      <c r="A13" s="10"/>
      <c r="B13" s="133" t="s">
        <v>41</v>
      </c>
      <c r="C13" s="21" t="s">
        <v>13</v>
      </c>
      <c r="D13" s="21" t="s">
        <v>40</v>
      </c>
      <c r="E13" s="138">
        <v>1</v>
      </c>
      <c r="F13" s="139">
        <v>46078</v>
      </c>
      <c r="G13" s="140">
        <v>1</v>
      </c>
      <c r="H13" s="19"/>
      <c r="I13" s="43" t="str">
        <f ca="1">IF(AND($C13="Goal",I$7&gt;=$F13,I$7&lt;=$F13+$G13-1),2,IF(AND($C13="Milestone",I$7&gt;=$F13,I$7&lt;=$F13+$G13-1),1,""))</f>
        <v/>
      </c>
      <c r="J13" s="23" t="str">
        <f ca="1">IF(AND($C13="Goal",J$7&gt;=$F13,J$7&lt;=$F13+$G13-1),2,IF(AND($C13="Milestone",J$7&gt;=$F13,J$7&lt;=$F13+$G13-1),1,""))</f>
        <v/>
      </c>
      <c r="K13" s="23" t="str">
        <f ca="1">IF(AND($C13="Goal",K$7&gt;=$F13,K$7&lt;=$F13+$G13-1),2,IF(AND($C13="Milestone",K$7&gt;=$F13,K$7&lt;=$F13+$G13-1),1,""))</f>
        <v/>
      </c>
      <c r="L13" s="23" t="str">
        <f ca="1">IF(AND($C13="Goal",L$7&gt;=$F13,L$7&lt;=$F13+$G13-1),2,IF(AND($C13="Milestone",L$7&gt;=$F13,L$7&lt;=$F13+$G13-1),1,""))</f>
        <v/>
      </c>
      <c r="M13" s="23" t="str">
        <f ca="1">IF(AND($C13="Goal",M$7&gt;=$F13,M$7&lt;=$F13+$G13-1),2,IF(AND($C13="Milestone",M$7&gt;=$F13,M$7&lt;=$F13+$G13-1),1,""))</f>
        <v/>
      </c>
      <c r="N13" s="23" t="str">
        <f ca="1">IF(AND($C13="Goal",N$7&gt;=$F13,N$7&lt;=$F13+$G13-1),2,IF(AND($C13="Milestone",N$7&gt;=$F13,N$7&lt;=$F13+$G13-1),1,""))</f>
        <v/>
      </c>
      <c r="O13" s="23" t="str">
        <f ca="1">IF(AND($C13="Goal",O$7&gt;=$F13,O$7&lt;=$F13+$G13-1),2,IF(AND($C13="Milestone",O$7&gt;=$F13,O$7&lt;=$F13+$G13-1),1,""))</f>
        <v/>
      </c>
      <c r="P13" s="23" t="str">
        <f ca="1">IF(AND($C13="Goal",P$7&gt;=$F13,P$7&lt;=$F13+$G13-1),2,IF(AND($C13="Milestone",P$7&gt;=$F13,P$7&lt;=$F13+$G13-1),1,""))</f>
        <v/>
      </c>
      <c r="Q13" s="23" t="str">
        <f ca="1">IF(AND($C13="Goal",Q$7&gt;=$F13,Q$7&lt;=$F13+$G13-1),2,IF(AND($C13="Milestone",Q$7&gt;=$F13,Q$7&lt;=$F13+$G13-1),1,""))</f>
        <v/>
      </c>
      <c r="R13" s="23" t="str">
        <f ca="1">IF(AND($C13="Goal",R$7&gt;=$F13,R$7&lt;=$F13+$G13-1),2,IF(AND($C13="Milestone",R$7&gt;=$F13,R$7&lt;=$F13+$G13-1),1,""))</f>
        <v/>
      </c>
      <c r="S13" s="23" t="str">
        <f ca="1">IF(AND($C13="Goal",S$7&gt;=$F13,S$7&lt;=$F13+$G13-1),2,IF(AND($C13="Milestone",S$7&gt;=$F13,S$7&lt;=$F13+$G13-1),1,""))</f>
        <v/>
      </c>
      <c r="T13" s="23" t="str">
        <f ca="1">IF(AND($C13="Goal",T$7&gt;=$F13,T$7&lt;=$F13+$G13-1),2,IF(AND($C13="Milestone",T$7&gt;=$F13,T$7&lt;=$F13+$G13-1),1,""))</f>
        <v/>
      </c>
      <c r="U13" s="23" t="str">
        <f ca="1">IF(AND($C13="Goal",U$7&gt;=$F13,U$7&lt;=$F13+$G13-1),2,IF(AND($C13="Milestone",U$7&gt;=$F13,U$7&lt;=$F13+$G13-1),1,""))</f>
        <v/>
      </c>
      <c r="V13" s="23" t="str">
        <f ca="1">IF(AND($C13="Goal",V$7&gt;=$F13,V$7&lt;=$F13+$G13-1),2,IF(AND($C13="Milestone",V$7&gt;=$F13,V$7&lt;=$F13+$G13-1),1,""))</f>
        <v/>
      </c>
      <c r="W13" s="23" t="str">
        <f ca="1">IF(AND($C13="Goal",W$7&gt;=$F13,W$7&lt;=$F13+$G13-1),2,IF(AND($C13="Milestone",W$7&gt;=$F13,W$7&lt;=$F13+$G13-1),1,""))</f>
        <v/>
      </c>
      <c r="X13" s="23" t="str">
        <f ca="1">IF(AND($C13="Goal",X$7&gt;=$F13,X$7&lt;=$F13+$G13-1),2,IF(AND($C13="Milestone",X$7&gt;=$F13,X$7&lt;=$F13+$G13-1),1,""))</f>
        <v/>
      </c>
      <c r="Y13" s="23" t="str">
        <f ca="1">IF(AND($C13="Goal",Y$7&gt;=$F13,Y$7&lt;=$F13+$G13-1),2,IF(AND($C13="Milestone",Y$7&gt;=$F13,Y$7&lt;=$F13+$G13-1),1,""))</f>
        <v/>
      </c>
      <c r="Z13" s="23" t="str">
        <f ca="1">IF(AND($C13="Goal",Z$7&gt;=$F13,Z$7&lt;=$F13+$G13-1),2,IF(AND($C13="Milestone",Z$7&gt;=$F13,Z$7&lt;=$F13+$G13-1),1,""))</f>
        <v/>
      </c>
      <c r="AA13" s="23" t="str">
        <f ca="1">IF(AND($C13="Goal",AA$7&gt;=$F13,AA$7&lt;=$F13+$G13-1),2,IF(AND($C13="Milestone",AA$7&gt;=$F13,AA$7&lt;=$F13+$G13-1),1,""))</f>
        <v/>
      </c>
      <c r="AB13" s="23" t="str">
        <f ca="1">IF(AND($C13="Goal",AB$7&gt;=$F13,AB$7&lt;=$F13+$G13-1),2,IF(AND($C13="Milestone",AB$7&gt;=$F13,AB$7&lt;=$F13+$G13-1),1,""))</f>
        <v/>
      </c>
      <c r="AC13" s="23" t="str">
        <f ca="1">IF(AND($C13="Goal",AC$7&gt;=$F13,AC$7&lt;=$F13+$G13-1),2,IF(AND($C13="Milestone",AC$7&gt;=$F13,AC$7&lt;=$F13+$G13-1),1,""))</f>
        <v/>
      </c>
      <c r="AD13" s="23" t="str">
        <f ca="1">IF(AND($C13="Goal",AD$7&gt;=$F13,AD$7&lt;=$F13+$G13-1),2,IF(AND($C13="Milestone",AD$7&gt;=$F13,AD$7&lt;=$F13+$G13-1),1,""))</f>
        <v/>
      </c>
      <c r="AE13" s="23" t="str">
        <f ca="1">IF(AND($C13="Goal",AE$7&gt;=$F13,AE$7&lt;=$F13+$G13-1),2,IF(AND($C13="Milestone",AE$7&gt;=$F13,AE$7&lt;=$F13+$G13-1),1,""))</f>
        <v/>
      </c>
      <c r="AF13" s="23" t="str">
        <f ca="1">IF(AND($C13="Goal",AF$7&gt;=$F13,AF$7&lt;=$F13+$G13-1),2,IF(AND($C13="Milestone",AF$7&gt;=$F13,AF$7&lt;=$F13+$G13-1),1,""))</f>
        <v/>
      </c>
      <c r="AG13" s="23" t="str">
        <f ca="1">IF(AND($C13="Goal",AG$7&gt;=$F13,AG$7&lt;=$F13+$G13-1),2,IF(AND($C13="Milestone",AG$7&gt;=$F13,AG$7&lt;=$F13+$G13-1),1,""))</f>
        <v/>
      </c>
      <c r="AH13" s="23" t="str">
        <f ca="1">IF(AND($C13="Goal",AH$7&gt;=$F13,AH$7&lt;=$F13+$G13-1),2,IF(AND($C13="Milestone",AH$7&gt;=$F13,AH$7&lt;=$F13+$G13-1),1,""))</f>
        <v/>
      </c>
      <c r="AI13" s="23" t="str">
        <f ca="1">IF(AND($C13="Goal",AI$7&gt;=$F13,AI$7&lt;=$F13+$G13-1),2,IF(AND($C13="Milestone",AI$7&gt;=$F13,AI$7&lt;=$F13+$G13-1),1,""))</f>
        <v/>
      </c>
      <c r="AJ13" s="23" t="str">
        <f ca="1">IF(AND($C13="Goal",AJ$7&gt;=$F13,AJ$7&lt;=$F13+$G13-1),2,IF(AND($C13="Milestone",AJ$7&gt;=$F13,AJ$7&lt;=$F13+$G13-1),1,""))</f>
        <v/>
      </c>
      <c r="AK13" s="23" t="str">
        <f ca="1">IF(AND($C13="Goal",AK$7&gt;=$F13,AK$7&lt;=$F13+$G13-1),2,IF(AND($C13="Milestone",AK$7&gt;=$F13,AK$7&lt;=$F13+$G13-1),1,""))</f>
        <v/>
      </c>
      <c r="AL13" s="23" t="str">
        <f ca="1">IF(AND($C13="Goal",AL$7&gt;=$F13,AL$7&lt;=$F13+$G13-1),2,IF(AND($C13="Milestone",AL$7&gt;=$F13,AL$7&lt;=$F13+$G13-1),1,""))</f>
        <v/>
      </c>
      <c r="AM13" s="23" t="str">
        <f ca="1">IF(AND($C13="Goal",AM$7&gt;=$F13,AM$7&lt;=$F13+$G13-1),2,IF(AND($C13="Milestone",AM$7&gt;=$F13,AM$7&lt;=$F13+$G13-1),1,""))</f>
        <v/>
      </c>
      <c r="AN13" s="23" t="str">
        <f ca="1">IF(AND($C13="Goal",AN$7&gt;=$F13,AN$7&lt;=$F13+$G13-1),2,IF(AND($C13="Milestone",AN$7&gt;=$F13,AN$7&lt;=$F13+$G13-1),1,""))</f>
        <v/>
      </c>
      <c r="AO13" s="23" t="str">
        <f ca="1">IF(AND($C13="Goal",AO$7&gt;=$F13,AO$7&lt;=$F13+$G13-1),2,IF(AND($C13="Milestone",AO$7&gt;=$F13,AO$7&lt;=$F13+$G13-1),1,""))</f>
        <v/>
      </c>
      <c r="AP13" s="23" t="str">
        <f ca="1">IF(AND($C13="Goal",AP$7&gt;=$F13,AP$7&lt;=$F13+$G13-1),2,IF(AND($C13="Milestone",AP$7&gt;=$F13,AP$7&lt;=$F13+$G13-1),1,""))</f>
        <v/>
      </c>
      <c r="AQ13" s="23" t="str">
        <f ca="1">IF(AND($C13="Goal",AQ$7&gt;=$F13,AQ$7&lt;=$F13+$G13-1),2,IF(AND($C13="Milestone",AQ$7&gt;=$F13,AQ$7&lt;=$F13+$G13-1),1,""))</f>
        <v/>
      </c>
      <c r="AR13" s="23" t="str">
        <f ca="1">IF(AND($C13="Goal",AR$7&gt;=$F13,AR$7&lt;=$F13+$G13-1),2,IF(AND($C13="Milestone",AR$7&gt;=$F13,AR$7&lt;=$F13+$G13-1),1,""))</f>
        <v/>
      </c>
      <c r="AS13" s="23" t="str">
        <f ca="1">IF(AND($C13="Goal",AS$7&gt;=$F13,AS$7&lt;=$F13+$G13-1),2,IF(AND($C13="Milestone",AS$7&gt;=$F13,AS$7&lt;=$F13+$G13-1),1,""))</f>
        <v/>
      </c>
      <c r="AT13" s="23" t="str">
        <f ca="1">IF(AND($C13="Goal",AT$7&gt;=$F13,AT$7&lt;=$F13+$G13-1),2,IF(AND($C13="Milestone",AT$7&gt;=$F13,AT$7&lt;=$F13+$G13-1),1,""))</f>
        <v/>
      </c>
      <c r="AU13" s="23" t="str">
        <f ca="1">IF(AND($C13="Goal",AU$7&gt;=$F13,AU$7&lt;=$F13+$G13-1),2,IF(AND($C13="Milestone",AU$7&gt;=$F13,AU$7&lt;=$F13+$G13-1),1,""))</f>
        <v/>
      </c>
      <c r="AV13" s="23" t="str">
        <f ca="1">IF(AND($C13="Goal",AV$7&gt;=$F13,AV$7&lt;=$F13+$G13-1),2,IF(AND($C13="Milestone",AV$7&gt;=$F13,AV$7&lt;=$F13+$G13-1),1,""))</f>
        <v/>
      </c>
      <c r="AW13" s="23" t="str">
        <f ca="1">IF(AND($C13="Goal",AW$7&gt;=$F13,AW$7&lt;=$F13+$G13-1),2,IF(AND($C13="Milestone",AW$7&gt;=$F13,AW$7&lt;=$F13+$G13-1),1,""))</f>
        <v/>
      </c>
      <c r="AX13" s="23" t="str">
        <f ca="1">IF(AND($C13="Goal",AX$7&gt;=$F13,AX$7&lt;=$F13+$G13-1),2,IF(AND($C13="Milestone",AX$7&gt;=$F13,AX$7&lt;=$F13+$G13-1),1,""))</f>
        <v/>
      </c>
      <c r="AY13" s="23" t="str">
        <f ca="1">IF(AND($C13="Goal",AY$7&gt;=$F13,AY$7&lt;=$F13+$G13-1),2,IF(AND($C13="Milestone",AY$7&gt;=$F13,AY$7&lt;=$F13+$G13-1),1,""))</f>
        <v/>
      </c>
      <c r="AZ13" s="23" t="str">
        <f ca="1">IF(AND($C13="Goal",AZ$7&gt;=$F13,AZ$7&lt;=$F13+$G13-1),2,IF(AND($C13="Milestone",AZ$7&gt;=$F13,AZ$7&lt;=$F13+$G13-1),1,""))</f>
        <v/>
      </c>
      <c r="BA13" s="23" t="str">
        <f ca="1">IF(AND($C13="Goal",BA$7&gt;=$F13,BA$7&lt;=$F13+$G13-1),2,IF(AND($C13="Milestone",BA$7&gt;=$F13,BA$7&lt;=$F13+$G13-1),1,""))</f>
        <v/>
      </c>
      <c r="BB13" s="23" t="str">
        <f ca="1">IF(AND($C13="Goal",BB$7&gt;=$F13,BB$7&lt;=$F13+$G13-1),2,IF(AND($C13="Milestone",BB$7&gt;=$F13,BB$7&lt;=$F13+$G13-1),1,""))</f>
        <v/>
      </c>
      <c r="BC13" s="23" t="str">
        <f ca="1">IF(AND($C13="Goal",BC$7&gt;=$F13,BC$7&lt;=$F13+$G13-1),2,IF(AND($C13="Milestone",BC$7&gt;=$F13,BC$7&lt;=$F13+$G13-1),1,""))</f>
        <v/>
      </c>
      <c r="BD13" s="23" t="str">
        <f ca="1">IF(AND($C13="Goal",BD$7&gt;=$F13,BD$7&lt;=$F13+$G13-1),2,IF(AND($C13="Milestone",BD$7&gt;=$F13,BD$7&lt;=$F13+$G13-1),1,""))</f>
        <v/>
      </c>
      <c r="BE13" s="23" t="str">
        <f ca="1">IF(AND($C13="Goal",BE$7&gt;=$F13,BE$7&lt;=$F13+$G13-1),2,IF(AND($C13="Milestone",BE$7&gt;=$F13,BE$7&lt;=$F13+$G13-1),1,""))</f>
        <v/>
      </c>
      <c r="BF13" s="23" t="str">
        <f ca="1">IF(AND($C13="Goal",BF$7&gt;=$F13,BF$7&lt;=$F13+$G13-1),2,IF(AND($C13="Milestone",BF$7&gt;=$F13,BF$7&lt;=$F13+$G13-1),1,""))</f>
        <v/>
      </c>
      <c r="BG13" s="23" t="str">
        <f ca="1">IF(AND($C13="Goal",BG$7&gt;=$F13,BG$7&lt;=$F13+$G13-1),2,IF(AND($C13="Milestone",BG$7&gt;=$F13,BG$7&lt;=$F13+$G13-1),1,""))</f>
        <v/>
      </c>
      <c r="BH13" s="23" t="str">
        <f ca="1">IF(AND($C13="Goal",BH$7&gt;=$F13,BH$7&lt;=$F13+$G13-1),2,IF(AND($C13="Milestone",BH$7&gt;=$F13,BH$7&lt;=$F13+$G13-1),1,""))</f>
        <v/>
      </c>
      <c r="BI13" s="23" t="str">
        <f ca="1">IF(AND($C13="Goal",BI$7&gt;=$F13,BI$7&lt;=$F13+$G13-1),2,IF(AND($C13="Milestone",BI$7&gt;=$F13,BI$7&lt;=$F13+$G13-1),1,""))</f>
        <v/>
      </c>
      <c r="BJ13" s="23" t="str">
        <f ca="1">IF(AND($C13="Goal",BJ$7&gt;=$F13,BJ$7&lt;=$F13+$G13-1),2,IF(AND($C13="Milestone",BJ$7&gt;=$F13,BJ$7&lt;=$F13+$G13-1),1,""))</f>
        <v/>
      </c>
      <c r="BK13" s="23" t="str">
        <f ca="1">IF(AND($C13="Goal",BK$7&gt;=$F13,BK$7&lt;=$F13+$G13-1),2,IF(AND($C13="Milestone",BK$7&gt;=$F13,BK$7&lt;=$F13+$G13-1),1,""))</f>
        <v/>
      </c>
      <c r="BL13" s="23" t="str">
        <f ca="1">IF(AND($C13="Goal",BL$7&gt;=$F13,BL$7&lt;=$F13+$G13-1),2,IF(AND($C13="Milestone",BL$7&gt;=$F13,BL$7&lt;=$F13+$G13-1),1,""))</f>
        <v/>
      </c>
      <c r="BM13" s="24"/>
    </row>
    <row r="14" spans="1:68" s="1" customFormat="1" ht="40.15" customHeight="1" x14ac:dyDescent="0.25">
      <c r="A14" s="9"/>
      <c r="B14" s="133" t="s">
        <v>51</v>
      </c>
      <c r="C14" s="21" t="s">
        <v>15</v>
      </c>
      <c r="D14" s="21" t="s">
        <v>40</v>
      </c>
      <c r="E14" s="138">
        <v>1</v>
      </c>
      <c r="F14" s="139">
        <v>46078</v>
      </c>
      <c r="G14" s="140">
        <v>1</v>
      </c>
      <c r="H14" s="19"/>
      <c r="I14" s="43" t="str">
        <f ca="1">IF(AND($C14="Goal",I$7&gt;=$F14,I$7&lt;=$F14+$G14-1),2,IF(AND($C14="Milestone",I$7&gt;=$F14,I$7&lt;=$F14+$G14-1),1,""))</f>
        <v/>
      </c>
      <c r="J14" s="23" t="str">
        <f ca="1">IF(AND($C14="Goal",J$7&gt;=$F14,J$7&lt;=$F14+$G14-1),2,IF(AND($C14="Milestone",J$7&gt;=$F14,J$7&lt;=$F14+$G14-1),1,""))</f>
        <v/>
      </c>
      <c r="K14" s="23" t="str">
        <f ca="1">IF(AND($C14="Goal",K$7&gt;=$F14,K$7&lt;=$F14+$G14-1),2,IF(AND($C14="Milestone",K$7&gt;=$F14,K$7&lt;=$F14+$G14-1),1,""))</f>
        <v/>
      </c>
      <c r="L14" s="23" t="str">
        <f ca="1">IF(AND($C14="Goal",L$7&gt;=$F14,L$7&lt;=$F14+$G14-1),2,IF(AND($C14="Milestone",L$7&gt;=$F14,L$7&lt;=$F14+$G14-1),1,""))</f>
        <v/>
      </c>
      <c r="M14" s="23" t="str">
        <f ca="1">IF(AND($C14="Goal",M$7&gt;=$F14,M$7&lt;=$F14+$G14-1),2,IF(AND($C14="Milestone",M$7&gt;=$F14,M$7&lt;=$F14+$G14-1),1,""))</f>
        <v/>
      </c>
      <c r="N14" s="23" t="str">
        <f ca="1">IF(AND($C14="Goal",N$7&gt;=$F14,N$7&lt;=$F14+$G14-1),2,IF(AND($C14="Milestone",N$7&gt;=$F14,N$7&lt;=$F14+$G14-1),1,""))</f>
        <v/>
      </c>
      <c r="O14" s="23" t="str">
        <f ca="1">IF(AND($C14="Goal",O$7&gt;=$F14,O$7&lt;=$F14+$G14-1),2,IF(AND($C14="Milestone",O$7&gt;=$F14,O$7&lt;=$F14+$G14-1),1,""))</f>
        <v/>
      </c>
      <c r="P14" s="23" t="str">
        <f ca="1">IF(AND($C14="Goal",P$7&gt;=$F14,P$7&lt;=$F14+$G14-1),2,IF(AND($C14="Milestone",P$7&gt;=$F14,P$7&lt;=$F14+$G14-1),1,""))</f>
        <v/>
      </c>
      <c r="Q14" s="23" t="str">
        <f ca="1">IF(AND($C14="Goal",Q$7&gt;=$F14,Q$7&lt;=$F14+$G14-1),2,IF(AND($C14="Milestone",Q$7&gt;=$F14,Q$7&lt;=$F14+$G14-1),1,""))</f>
        <v/>
      </c>
      <c r="R14" s="23" t="str">
        <f ca="1">IF(AND($C14="Goal",R$7&gt;=$F14,R$7&lt;=$F14+$G14-1),2,IF(AND($C14="Milestone",R$7&gt;=$F14,R$7&lt;=$F14+$G14-1),1,""))</f>
        <v/>
      </c>
      <c r="S14" s="23" t="str">
        <f ca="1">IF(AND($C14="Goal",S$7&gt;=$F14,S$7&lt;=$F14+$G14-1),2,IF(AND($C14="Milestone",S$7&gt;=$F14,S$7&lt;=$F14+$G14-1),1,""))</f>
        <v/>
      </c>
      <c r="T14" s="23" t="str">
        <f ca="1">IF(AND($C14="Goal",T$7&gt;=$F14,T$7&lt;=$F14+$G14-1),2,IF(AND($C14="Milestone",T$7&gt;=$F14,T$7&lt;=$F14+$G14-1),1,""))</f>
        <v/>
      </c>
      <c r="U14" s="23" t="str">
        <f ca="1">IF(AND($C14="Goal",U$7&gt;=$F14,U$7&lt;=$F14+$G14-1),2,IF(AND($C14="Milestone",U$7&gt;=$F14,U$7&lt;=$F14+$G14-1),1,""))</f>
        <v/>
      </c>
      <c r="V14" s="23" t="str">
        <f ca="1">IF(AND($C14="Goal",V$7&gt;=$F14,V$7&lt;=$F14+$G14-1),2,IF(AND($C14="Milestone",V$7&gt;=$F14,V$7&lt;=$F14+$G14-1),1,""))</f>
        <v/>
      </c>
      <c r="W14" s="23" t="str">
        <f ca="1">IF(AND($C14="Goal",W$7&gt;=$F14,W$7&lt;=$F14+$G14-1),2,IF(AND($C14="Milestone",W$7&gt;=$F14,W$7&lt;=$F14+$G14-1),1,""))</f>
        <v/>
      </c>
      <c r="X14" s="23" t="str">
        <f ca="1">IF(AND($C14="Goal",X$7&gt;=$F14,X$7&lt;=$F14+$G14-1),2,IF(AND($C14="Milestone",X$7&gt;=$F14,X$7&lt;=$F14+$G14-1),1,""))</f>
        <v/>
      </c>
      <c r="Y14" s="23" t="str">
        <f ca="1">IF(AND($C14="Goal",Y$7&gt;=$F14,Y$7&lt;=$F14+$G14-1),2,IF(AND($C14="Milestone",Y$7&gt;=$F14,Y$7&lt;=$F14+$G14-1),1,""))</f>
        <v/>
      </c>
      <c r="Z14" s="23" t="str">
        <f ca="1">IF(AND($C14="Goal",Z$7&gt;=$F14,Z$7&lt;=$F14+$G14-1),2,IF(AND($C14="Milestone",Z$7&gt;=$F14,Z$7&lt;=$F14+$G14-1),1,""))</f>
        <v/>
      </c>
      <c r="AA14" s="23" t="str">
        <f ca="1">IF(AND($C14="Goal",AA$7&gt;=$F14,AA$7&lt;=$F14+$G14-1),2,IF(AND($C14="Milestone",AA$7&gt;=$F14,AA$7&lt;=$F14+$G14-1),1,""))</f>
        <v/>
      </c>
      <c r="AB14" s="23" t="str">
        <f ca="1">IF(AND($C14="Goal",AB$7&gt;=$F14,AB$7&lt;=$F14+$G14-1),2,IF(AND($C14="Milestone",AB$7&gt;=$F14,AB$7&lt;=$F14+$G14-1),1,""))</f>
        <v/>
      </c>
      <c r="AC14" s="23" t="str">
        <f ca="1">IF(AND($C14="Goal",AC$7&gt;=$F14,AC$7&lt;=$F14+$G14-1),2,IF(AND($C14="Milestone",AC$7&gt;=$F14,AC$7&lt;=$F14+$G14-1),1,""))</f>
        <v/>
      </c>
      <c r="AD14" s="23" t="str">
        <f ca="1">IF(AND($C14="Goal",AD$7&gt;=$F14,AD$7&lt;=$F14+$G14-1),2,IF(AND($C14="Milestone",AD$7&gt;=$F14,AD$7&lt;=$F14+$G14-1),1,""))</f>
        <v/>
      </c>
      <c r="AE14" s="23" t="str">
        <f ca="1">IF(AND($C14="Goal",AE$7&gt;=$F14,AE$7&lt;=$F14+$G14-1),2,IF(AND($C14="Milestone",AE$7&gt;=$F14,AE$7&lt;=$F14+$G14-1),1,""))</f>
        <v/>
      </c>
      <c r="AF14" s="23" t="str">
        <f ca="1">IF(AND($C14="Goal",AF$7&gt;=$F14,AF$7&lt;=$F14+$G14-1),2,IF(AND($C14="Milestone",AF$7&gt;=$F14,AF$7&lt;=$F14+$G14-1),1,""))</f>
        <v/>
      </c>
      <c r="AG14" s="23" t="str">
        <f ca="1">IF(AND($C14="Goal",AG$7&gt;=$F14,AG$7&lt;=$F14+$G14-1),2,IF(AND($C14="Milestone",AG$7&gt;=$F14,AG$7&lt;=$F14+$G14-1),1,""))</f>
        <v/>
      </c>
      <c r="AH14" s="23" t="str">
        <f ca="1">IF(AND($C14="Goal",AH$7&gt;=$F14,AH$7&lt;=$F14+$G14-1),2,IF(AND($C14="Milestone",AH$7&gt;=$F14,AH$7&lt;=$F14+$G14-1),1,""))</f>
        <v/>
      </c>
      <c r="AI14" s="23" t="str">
        <f ca="1">IF(AND($C14="Goal",AI$7&gt;=$F14,AI$7&lt;=$F14+$G14-1),2,IF(AND($C14="Milestone",AI$7&gt;=$F14,AI$7&lt;=$F14+$G14-1),1,""))</f>
        <v/>
      </c>
      <c r="AJ14" s="23" t="str">
        <f ca="1">IF(AND($C14="Goal",AJ$7&gt;=$F14,AJ$7&lt;=$F14+$G14-1),2,IF(AND($C14="Milestone",AJ$7&gt;=$F14,AJ$7&lt;=$F14+$G14-1),1,""))</f>
        <v/>
      </c>
      <c r="AK14" s="23" t="str">
        <f ca="1">IF(AND($C14="Goal",AK$7&gt;=$F14,AK$7&lt;=$F14+$G14-1),2,IF(AND($C14="Milestone",AK$7&gt;=$F14,AK$7&lt;=$F14+$G14-1),1,""))</f>
        <v/>
      </c>
      <c r="AL14" s="23" t="str">
        <f ca="1">IF(AND($C14="Goal",AL$7&gt;=$F14,AL$7&lt;=$F14+$G14-1),2,IF(AND($C14="Milestone",AL$7&gt;=$F14,AL$7&lt;=$F14+$G14-1),1,""))</f>
        <v/>
      </c>
      <c r="AM14" s="23" t="str">
        <f ca="1">IF(AND($C14="Goal",AM$7&gt;=$F14,AM$7&lt;=$F14+$G14-1),2,IF(AND($C14="Milestone",AM$7&gt;=$F14,AM$7&lt;=$F14+$G14-1),1,""))</f>
        <v/>
      </c>
      <c r="AN14" s="23" t="str">
        <f ca="1">IF(AND($C14="Goal",AN$7&gt;=$F14,AN$7&lt;=$F14+$G14-1),2,IF(AND($C14="Milestone",AN$7&gt;=$F14,AN$7&lt;=$F14+$G14-1),1,""))</f>
        <v/>
      </c>
      <c r="AO14" s="23" t="str">
        <f ca="1">IF(AND($C14="Goal",AO$7&gt;=$F14,AO$7&lt;=$F14+$G14-1),2,IF(AND($C14="Milestone",AO$7&gt;=$F14,AO$7&lt;=$F14+$G14-1),1,""))</f>
        <v/>
      </c>
      <c r="AP14" s="23" t="str">
        <f ca="1">IF(AND($C14="Goal",AP$7&gt;=$F14,AP$7&lt;=$F14+$G14-1),2,IF(AND($C14="Milestone",AP$7&gt;=$F14,AP$7&lt;=$F14+$G14-1),1,""))</f>
        <v/>
      </c>
      <c r="AQ14" s="23" t="str">
        <f ca="1">IF(AND($C14="Goal",AQ$7&gt;=$F14,AQ$7&lt;=$F14+$G14-1),2,IF(AND($C14="Milestone",AQ$7&gt;=$F14,AQ$7&lt;=$F14+$G14-1),1,""))</f>
        <v/>
      </c>
      <c r="AR14" s="23" t="str">
        <f ca="1">IF(AND($C14="Goal",AR$7&gt;=$F14,AR$7&lt;=$F14+$G14-1),2,IF(AND($C14="Milestone",AR$7&gt;=$F14,AR$7&lt;=$F14+$G14-1),1,""))</f>
        <v/>
      </c>
      <c r="AS14" s="23" t="str">
        <f ca="1">IF(AND($C14="Goal",AS$7&gt;=$F14,AS$7&lt;=$F14+$G14-1),2,IF(AND($C14="Milestone",AS$7&gt;=$F14,AS$7&lt;=$F14+$G14-1),1,""))</f>
        <v/>
      </c>
      <c r="AT14" s="23" t="str">
        <f ca="1">IF(AND($C14="Goal",AT$7&gt;=$F14,AT$7&lt;=$F14+$G14-1),2,IF(AND($C14="Milestone",AT$7&gt;=$F14,AT$7&lt;=$F14+$G14-1),1,""))</f>
        <v/>
      </c>
      <c r="AU14" s="23" t="str">
        <f ca="1">IF(AND($C14="Goal",AU$7&gt;=$F14,AU$7&lt;=$F14+$G14-1),2,IF(AND($C14="Milestone",AU$7&gt;=$F14,AU$7&lt;=$F14+$G14-1),1,""))</f>
        <v/>
      </c>
      <c r="AV14" s="23" t="str">
        <f ca="1">IF(AND($C14="Goal",AV$7&gt;=$F14,AV$7&lt;=$F14+$G14-1),2,IF(AND($C14="Milestone",AV$7&gt;=$F14,AV$7&lt;=$F14+$G14-1),1,""))</f>
        <v/>
      </c>
      <c r="AW14" s="23" t="str">
        <f ca="1">IF(AND($C14="Goal",AW$7&gt;=$F14,AW$7&lt;=$F14+$G14-1),2,IF(AND($C14="Milestone",AW$7&gt;=$F14,AW$7&lt;=$F14+$G14-1),1,""))</f>
        <v/>
      </c>
      <c r="AX14" s="23" t="str">
        <f ca="1">IF(AND($C14="Goal",AX$7&gt;=$F14,AX$7&lt;=$F14+$G14-1),2,IF(AND($C14="Milestone",AX$7&gt;=$F14,AX$7&lt;=$F14+$G14-1),1,""))</f>
        <v/>
      </c>
      <c r="AY14" s="23" t="str">
        <f ca="1">IF(AND($C14="Goal",AY$7&gt;=$F14,AY$7&lt;=$F14+$G14-1),2,IF(AND($C14="Milestone",AY$7&gt;=$F14,AY$7&lt;=$F14+$G14-1),1,""))</f>
        <v/>
      </c>
      <c r="AZ14" s="23" t="str">
        <f ca="1">IF(AND($C14="Goal",AZ$7&gt;=$F14,AZ$7&lt;=$F14+$G14-1),2,IF(AND($C14="Milestone",AZ$7&gt;=$F14,AZ$7&lt;=$F14+$G14-1),1,""))</f>
        <v/>
      </c>
      <c r="BA14" s="23" t="str">
        <f ca="1">IF(AND($C14="Goal",BA$7&gt;=$F14,BA$7&lt;=$F14+$G14-1),2,IF(AND($C14="Milestone",BA$7&gt;=$F14,BA$7&lt;=$F14+$G14-1),1,""))</f>
        <v/>
      </c>
      <c r="BB14" s="23" t="str">
        <f ca="1">IF(AND($C14="Goal",BB$7&gt;=$F14,BB$7&lt;=$F14+$G14-1),2,IF(AND($C14="Milestone",BB$7&gt;=$F14,BB$7&lt;=$F14+$G14-1),1,""))</f>
        <v/>
      </c>
      <c r="BC14" s="23" t="str">
        <f ca="1">IF(AND($C14="Goal",BC$7&gt;=$F14,BC$7&lt;=$F14+$G14-1),2,IF(AND($C14="Milestone",BC$7&gt;=$F14,BC$7&lt;=$F14+$G14-1),1,""))</f>
        <v/>
      </c>
      <c r="BD14" s="23" t="str">
        <f ca="1">IF(AND($C14="Goal",BD$7&gt;=$F14,BD$7&lt;=$F14+$G14-1),2,IF(AND($C14="Milestone",BD$7&gt;=$F14,BD$7&lt;=$F14+$G14-1),1,""))</f>
        <v/>
      </c>
      <c r="BE14" s="23" t="str">
        <f ca="1">IF(AND($C14="Goal",BE$7&gt;=$F14,BE$7&lt;=$F14+$G14-1),2,IF(AND($C14="Milestone",BE$7&gt;=$F14,BE$7&lt;=$F14+$G14-1),1,""))</f>
        <v/>
      </c>
      <c r="BF14" s="23" t="str">
        <f ca="1">IF(AND($C14="Goal",BF$7&gt;=$F14,BF$7&lt;=$F14+$G14-1),2,IF(AND($C14="Milestone",BF$7&gt;=$F14,BF$7&lt;=$F14+$G14-1),1,""))</f>
        <v/>
      </c>
      <c r="BG14" s="23" t="str">
        <f ca="1">IF(AND($C14="Goal",BG$7&gt;=$F14,BG$7&lt;=$F14+$G14-1),2,IF(AND($C14="Milestone",BG$7&gt;=$F14,BG$7&lt;=$F14+$G14-1),1,""))</f>
        <v/>
      </c>
      <c r="BH14" s="23" t="str">
        <f ca="1">IF(AND($C14="Goal",BH$7&gt;=$F14,BH$7&lt;=$F14+$G14-1),2,IF(AND($C14="Milestone",BH$7&gt;=$F14,BH$7&lt;=$F14+$G14-1),1,""))</f>
        <v/>
      </c>
      <c r="BI14" s="23" t="str">
        <f ca="1">IF(AND($C14="Goal",BI$7&gt;=$F14,BI$7&lt;=$F14+$G14-1),2,IF(AND($C14="Milestone",BI$7&gt;=$F14,BI$7&lt;=$F14+$G14-1),1,""))</f>
        <v/>
      </c>
      <c r="BJ14" s="23" t="str">
        <f ca="1">IF(AND($C14="Goal",BJ$7&gt;=$F14,BJ$7&lt;=$F14+$G14-1),2,IF(AND($C14="Milestone",BJ$7&gt;=$F14,BJ$7&lt;=$F14+$G14-1),1,""))</f>
        <v/>
      </c>
      <c r="BK14" s="23" t="str">
        <f ca="1">IF(AND($C14="Goal",BK$7&gt;=$F14,BK$7&lt;=$F14+$G14-1),2,IF(AND($C14="Milestone",BK$7&gt;=$F14,BK$7&lt;=$F14+$G14-1),1,""))</f>
        <v/>
      </c>
      <c r="BL14" s="23" t="str">
        <f ca="1">IF(AND($C14="Goal",BL$7&gt;=$F14,BL$7&lt;=$F14+$G14-1),2,IF(AND($C14="Milestone",BL$7&gt;=$F14,BL$7&lt;=$F14+$G14-1),1,""))</f>
        <v/>
      </c>
      <c r="BM14" s="24"/>
    </row>
    <row r="15" spans="1:68" s="1" customFormat="1" ht="40.15" customHeight="1" x14ac:dyDescent="0.25">
      <c r="A15" s="9"/>
      <c r="B15" s="133" t="s">
        <v>42</v>
      </c>
      <c r="C15" s="21" t="s">
        <v>15</v>
      </c>
      <c r="D15" s="21" t="s">
        <v>40</v>
      </c>
      <c r="E15" s="138">
        <v>1</v>
      </c>
      <c r="F15" s="139">
        <v>46078</v>
      </c>
      <c r="G15" s="140">
        <v>1</v>
      </c>
      <c r="H15" s="19"/>
      <c r="I15" s="43" t="str">
        <f ca="1">IF(AND($C15="Goal",I$7&gt;=$F15,I$7&lt;=$F15+$G15-1),2,IF(AND($C15="Milestone",I$7&gt;=$F15,I$7&lt;=$F15+$G15-1),1,""))</f>
        <v/>
      </c>
      <c r="J15" s="23" t="str">
        <f ca="1">IF(AND($C15="Goal",J$7&gt;=$F15,J$7&lt;=$F15+$G15-1),2,IF(AND($C15="Milestone",J$7&gt;=$F15,J$7&lt;=$F15+$G15-1),1,""))</f>
        <v/>
      </c>
      <c r="K15" s="23" t="str">
        <f ca="1">IF(AND($C15="Goal",K$7&gt;=$F15,K$7&lt;=$F15+$G15-1),2,IF(AND($C15="Milestone",K$7&gt;=$F15,K$7&lt;=$F15+$G15-1),1,""))</f>
        <v/>
      </c>
      <c r="L15" s="23" t="str">
        <f ca="1">IF(AND($C15="Goal",L$7&gt;=$F15,L$7&lt;=$F15+$G15-1),2,IF(AND($C15="Milestone",L$7&gt;=$F15,L$7&lt;=$F15+$G15-1),1,""))</f>
        <v/>
      </c>
      <c r="M15" s="23" t="str">
        <f ca="1">IF(AND($C15="Goal",M$7&gt;=$F15,M$7&lt;=$F15+$G15-1),2,IF(AND($C15="Milestone",M$7&gt;=$F15,M$7&lt;=$F15+$G15-1),1,""))</f>
        <v/>
      </c>
      <c r="N15" s="23" t="str">
        <f ca="1">IF(AND($C15="Goal",N$7&gt;=$F15,N$7&lt;=$F15+$G15-1),2,IF(AND($C15="Milestone",N$7&gt;=$F15,N$7&lt;=$F15+$G15-1),1,""))</f>
        <v/>
      </c>
      <c r="O15" s="23" t="str">
        <f ca="1">IF(AND($C15="Goal",O$7&gt;=$F15,O$7&lt;=$F15+$G15-1),2,IF(AND($C15="Milestone",O$7&gt;=$F15,O$7&lt;=$F15+$G15-1),1,""))</f>
        <v/>
      </c>
      <c r="P15" s="23" t="str">
        <f ca="1">IF(AND($C15="Goal",P$7&gt;=$F15,P$7&lt;=$F15+$G15-1),2,IF(AND($C15="Milestone",P$7&gt;=$F15,P$7&lt;=$F15+$G15-1),1,""))</f>
        <v/>
      </c>
      <c r="Q15" s="23" t="str">
        <f ca="1">IF(AND($C15="Goal",Q$7&gt;=$F15,Q$7&lt;=$F15+$G15-1),2,IF(AND($C15="Milestone",Q$7&gt;=$F15,Q$7&lt;=$F15+$G15-1),1,""))</f>
        <v/>
      </c>
      <c r="R15" s="23" t="str">
        <f ca="1">IF(AND($C15="Goal",R$7&gt;=$F15,R$7&lt;=$F15+$G15-1),2,IF(AND($C15="Milestone",R$7&gt;=$F15,R$7&lt;=$F15+$G15-1),1,""))</f>
        <v/>
      </c>
      <c r="S15" s="23" t="str">
        <f ca="1">IF(AND($C15="Goal",S$7&gt;=$F15,S$7&lt;=$F15+$G15-1),2,IF(AND($C15="Milestone",S$7&gt;=$F15,S$7&lt;=$F15+$G15-1),1,""))</f>
        <v/>
      </c>
      <c r="T15" s="23" t="str">
        <f ca="1">IF(AND($C15="Goal",T$7&gt;=$F15,T$7&lt;=$F15+$G15-1),2,IF(AND($C15="Milestone",T$7&gt;=$F15,T$7&lt;=$F15+$G15-1),1,""))</f>
        <v/>
      </c>
      <c r="U15" s="23" t="str">
        <f ca="1">IF(AND($C15="Goal",U$7&gt;=$F15,U$7&lt;=$F15+$G15-1),2,IF(AND($C15="Milestone",U$7&gt;=$F15,U$7&lt;=$F15+$G15-1),1,""))</f>
        <v/>
      </c>
      <c r="V15" s="23" t="str">
        <f ca="1">IF(AND($C15="Goal",V$7&gt;=$F15,V$7&lt;=$F15+$G15-1),2,IF(AND($C15="Milestone",V$7&gt;=$F15,V$7&lt;=$F15+$G15-1),1,""))</f>
        <v/>
      </c>
      <c r="W15" s="23" t="str">
        <f ca="1">IF(AND($C15="Goal",W$7&gt;=$F15,W$7&lt;=$F15+$G15-1),2,IF(AND($C15="Milestone",W$7&gt;=$F15,W$7&lt;=$F15+$G15-1),1,""))</f>
        <v/>
      </c>
      <c r="X15" s="23" t="str">
        <f ca="1">IF(AND($C15="Goal",X$7&gt;=$F15,X$7&lt;=$F15+$G15-1),2,IF(AND($C15="Milestone",X$7&gt;=$F15,X$7&lt;=$F15+$G15-1),1,""))</f>
        <v/>
      </c>
      <c r="Y15" s="23" t="str">
        <f ca="1">IF(AND($C15="Goal",Y$7&gt;=$F15,Y$7&lt;=$F15+$G15-1),2,IF(AND($C15="Milestone",Y$7&gt;=$F15,Y$7&lt;=$F15+$G15-1),1,""))</f>
        <v/>
      </c>
      <c r="Z15" s="23" t="str">
        <f ca="1">IF(AND($C15="Goal",Z$7&gt;=$F15,Z$7&lt;=$F15+$G15-1),2,IF(AND($C15="Milestone",Z$7&gt;=$F15,Z$7&lt;=$F15+$G15-1),1,""))</f>
        <v/>
      </c>
      <c r="AA15" s="23" t="str">
        <f ca="1">IF(AND($C15="Goal",AA$7&gt;=$F15,AA$7&lt;=$F15+$G15-1),2,IF(AND($C15="Milestone",AA$7&gt;=$F15,AA$7&lt;=$F15+$G15-1),1,""))</f>
        <v/>
      </c>
      <c r="AB15" s="23" t="str">
        <f ca="1">IF(AND($C15="Goal",AB$7&gt;=$F15,AB$7&lt;=$F15+$G15-1),2,IF(AND($C15="Milestone",AB$7&gt;=$F15,AB$7&lt;=$F15+$G15-1),1,""))</f>
        <v/>
      </c>
      <c r="AC15" s="23" t="str">
        <f ca="1">IF(AND($C15="Goal",AC$7&gt;=$F15,AC$7&lt;=$F15+$G15-1),2,IF(AND($C15="Milestone",AC$7&gt;=$F15,AC$7&lt;=$F15+$G15-1),1,""))</f>
        <v/>
      </c>
      <c r="AD15" s="23" t="str">
        <f ca="1">IF(AND($C15="Goal",AD$7&gt;=$F15,AD$7&lt;=$F15+$G15-1),2,IF(AND($C15="Milestone",AD$7&gt;=$F15,AD$7&lt;=$F15+$G15-1),1,""))</f>
        <v/>
      </c>
      <c r="AE15" s="23" t="str">
        <f ca="1">IF(AND($C15="Goal",AE$7&gt;=$F15,AE$7&lt;=$F15+$G15-1),2,IF(AND($C15="Milestone",AE$7&gt;=$F15,AE$7&lt;=$F15+$G15-1),1,""))</f>
        <v/>
      </c>
      <c r="AF15" s="23" t="str">
        <f ca="1">IF(AND($C15="Goal",AF$7&gt;=$F15,AF$7&lt;=$F15+$G15-1),2,IF(AND($C15="Milestone",AF$7&gt;=$F15,AF$7&lt;=$F15+$G15-1),1,""))</f>
        <v/>
      </c>
      <c r="AG15" s="23" t="str">
        <f ca="1">IF(AND($C15="Goal",AG$7&gt;=$F15,AG$7&lt;=$F15+$G15-1),2,IF(AND($C15="Milestone",AG$7&gt;=$F15,AG$7&lt;=$F15+$G15-1),1,""))</f>
        <v/>
      </c>
      <c r="AH15" s="23" t="str">
        <f ca="1">IF(AND($C15="Goal",AH$7&gt;=$F15,AH$7&lt;=$F15+$G15-1),2,IF(AND($C15="Milestone",AH$7&gt;=$F15,AH$7&lt;=$F15+$G15-1),1,""))</f>
        <v/>
      </c>
      <c r="AI15" s="23" t="str">
        <f ca="1">IF(AND($C15="Goal",AI$7&gt;=$F15,AI$7&lt;=$F15+$G15-1),2,IF(AND($C15="Milestone",AI$7&gt;=$F15,AI$7&lt;=$F15+$G15-1),1,""))</f>
        <v/>
      </c>
      <c r="AJ15" s="23" t="str">
        <f ca="1">IF(AND($C15="Goal",AJ$7&gt;=$F15,AJ$7&lt;=$F15+$G15-1),2,IF(AND($C15="Milestone",AJ$7&gt;=$F15,AJ$7&lt;=$F15+$G15-1),1,""))</f>
        <v/>
      </c>
      <c r="AK15" s="23" t="str">
        <f ca="1">IF(AND($C15="Goal",AK$7&gt;=$F15,AK$7&lt;=$F15+$G15-1),2,IF(AND($C15="Milestone",AK$7&gt;=$F15,AK$7&lt;=$F15+$G15-1),1,""))</f>
        <v/>
      </c>
      <c r="AL15" s="23" t="str">
        <f ca="1">IF(AND($C15="Goal",AL$7&gt;=$F15,AL$7&lt;=$F15+$G15-1),2,IF(AND($C15="Milestone",AL$7&gt;=$F15,AL$7&lt;=$F15+$G15-1),1,""))</f>
        <v/>
      </c>
      <c r="AM15" s="23" t="str">
        <f ca="1">IF(AND($C15="Goal",AM$7&gt;=$F15,AM$7&lt;=$F15+$G15-1),2,IF(AND($C15="Milestone",AM$7&gt;=$F15,AM$7&lt;=$F15+$G15-1),1,""))</f>
        <v/>
      </c>
      <c r="AN15" s="23" t="str">
        <f ca="1">IF(AND($C15="Goal",AN$7&gt;=$F15,AN$7&lt;=$F15+$G15-1),2,IF(AND($C15="Milestone",AN$7&gt;=$F15,AN$7&lt;=$F15+$G15-1),1,""))</f>
        <v/>
      </c>
      <c r="AO15" s="23" t="str">
        <f ca="1">IF(AND($C15="Goal",AO$7&gt;=$F15,AO$7&lt;=$F15+$G15-1),2,IF(AND($C15="Milestone",AO$7&gt;=$F15,AO$7&lt;=$F15+$G15-1),1,""))</f>
        <v/>
      </c>
      <c r="AP15" s="23" t="str">
        <f ca="1">IF(AND($C15="Goal",AP$7&gt;=$F15,AP$7&lt;=$F15+$G15-1),2,IF(AND($C15="Milestone",AP$7&gt;=$F15,AP$7&lt;=$F15+$G15-1),1,""))</f>
        <v/>
      </c>
      <c r="AQ15" s="23" t="str">
        <f ca="1">IF(AND($C15="Goal",AQ$7&gt;=$F15,AQ$7&lt;=$F15+$G15-1),2,IF(AND($C15="Milestone",AQ$7&gt;=$F15,AQ$7&lt;=$F15+$G15-1),1,""))</f>
        <v/>
      </c>
      <c r="AR15" s="23" t="str">
        <f ca="1">IF(AND($C15="Goal",AR$7&gt;=$F15,AR$7&lt;=$F15+$G15-1),2,IF(AND($C15="Milestone",AR$7&gt;=$F15,AR$7&lt;=$F15+$G15-1),1,""))</f>
        <v/>
      </c>
      <c r="AS15" s="23" t="str">
        <f ca="1">IF(AND($C15="Goal",AS$7&gt;=$F15,AS$7&lt;=$F15+$G15-1),2,IF(AND($C15="Milestone",AS$7&gt;=$F15,AS$7&lt;=$F15+$G15-1),1,""))</f>
        <v/>
      </c>
      <c r="AT15" s="23" t="str">
        <f ca="1">IF(AND($C15="Goal",AT$7&gt;=$F15,AT$7&lt;=$F15+$G15-1),2,IF(AND($C15="Milestone",AT$7&gt;=$F15,AT$7&lt;=$F15+$G15-1),1,""))</f>
        <v/>
      </c>
      <c r="AU15" s="23" t="str">
        <f ca="1">IF(AND($C15="Goal",AU$7&gt;=$F15,AU$7&lt;=$F15+$G15-1),2,IF(AND($C15="Milestone",AU$7&gt;=$F15,AU$7&lt;=$F15+$G15-1),1,""))</f>
        <v/>
      </c>
      <c r="AV15" s="23" t="str">
        <f ca="1">IF(AND($C15="Goal",AV$7&gt;=$F15,AV$7&lt;=$F15+$G15-1),2,IF(AND($C15="Milestone",AV$7&gt;=$F15,AV$7&lt;=$F15+$G15-1),1,""))</f>
        <v/>
      </c>
      <c r="AW15" s="23" t="str">
        <f ca="1">IF(AND($C15="Goal",AW$7&gt;=$F15,AW$7&lt;=$F15+$G15-1),2,IF(AND($C15="Milestone",AW$7&gt;=$F15,AW$7&lt;=$F15+$G15-1),1,""))</f>
        <v/>
      </c>
      <c r="AX15" s="23" t="str">
        <f ca="1">IF(AND($C15="Goal",AX$7&gt;=$F15,AX$7&lt;=$F15+$G15-1),2,IF(AND($C15="Milestone",AX$7&gt;=$F15,AX$7&lt;=$F15+$G15-1),1,""))</f>
        <v/>
      </c>
      <c r="AY15" s="23" t="str">
        <f ca="1">IF(AND($C15="Goal",AY$7&gt;=$F15,AY$7&lt;=$F15+$G15-1),2,IF(AND($C15="Milestone",AY$7&gt;=$F15,AY$7&lt;=$F15+$G15-1),1,""))</f>
        <v/>
      </c>
      <c r="AZ15" s="23" t="str">
        <f ca="1">IF(AND($C15="Goal",AZ$7&gt;=$F15,AZ$7&lt;=$F15+$G15-1),2,IF(AND($C15="Milestone",AZ$7&gt;=$F15,AZ$7&lt;=$F15+$G15-1),1,""))</f>
        <v/>
      </c>
      <c r="BA15" s="23" t="str">
        <f ca="1">IF(AND($C15="Goal",BA$7&gt;=$F15,BA$7&lt;=$F15+$G15-1),2,IF(AND($C15="Milestone",BA$7&gt;=$F15,BA$7&lt;=$F15+$G15-1),1,""))</f>
        <v/>
      </c>
      <c r="BB15" s="23" t="str">
        <f ca="1">IF(AND($C15="Goal",BB$7&gt;=$F15,BB$7&lt;=$F15+$G15-1),2,IF(AND($C15="Milestone",BB$7&gt;=$F15,BB$7&lt;=$F15+$G15-1),1,""))</f>
        <v/>
      </c>
      <c r="BC15" s="23" t="str">
        <f ca="1">IF(AND($C15="Goal",BC$7&gt;=$F15,BC$7&lt;=$F15+$G15-1),2,IF(AND($C15="Milestone",BC$7&gt;=$F15,BC$7&lt;=$F15+$G15-1),1,""))</f>
        <v/>
      </c>
      <c r="BD15" s="23" t="str">
        <f ca="1">IF(AND($C15="Goal",BD$7&gt;=$F15,BD$7&lt;=$F15+$G15-1),2,IF(AND($C15="Milestone",BD$7&gt;=$F15,BD$7&lt;=$F15+$G15-1),1,""))</f>
        <v/>
      </c>
      <c r="BE15" s="23" t="str">
        <f ca="1">IF(AND($C15="Goal",BE$7&gt;=$F15,BE$7&lt;=$F15+$G15-1),2,IF(AND($C15="Milestone",BE$7&gt;=$F15,BE$7&lt;=$F15+$G15-1),1,""))</f>
        <v/>
      </c>
      <c r="BF15" s="23" t="str">
        <f ca="1">IF(AND($C15="Goal",BF$7&gt;=$F15,BF$7&lt;=$F15+$G15-1),2,IF(AND($C15="Milestone",BF$7&gt;=$F15,BF$7&lt;=$F15+$G15-1),1,""))</f>
        <v/>
      </c>
      <c r="BG15" s="23" t="str">
        <f ca="1">IF(AND($C15="Goal",BG$7&gt;=$F15,BG$7&lt;=$F15+$G15-1),2,IF(AND($C15="Milestone",BG$7&gt;=$F15,BG$7&lt;=$F15+$G15-1),1,""))</f>
        <v/>
      </c>
      <c r="BH15" s="23" t="str">
        <f ca="1">IF(AND($C15="Goal",BH$7&gt;=$F15,BH$7&lt;=$F15+$G15-1),2,IF(AND($C15="Milestone",BH$7&gt;=$F15,BH$7&lt;=$F15+$G15-1),1,""))</f>
        <v/>
      </c>
      <c r="BI15" s="23" t="str">
        <f ca="1">IF(AND($C15="Goal",BI$7&gt;=$F15,BI$7&lt;=$F15+$G15-1),2,IF(AND($C15="Milestone",BI$7&gt;=$F15,BI$7&lt;=$F15+$G15-1),1,""))</f>
        <v/>
      </c>
      <c r="BJ15" s="23" t="str">
        <f ca="1">IF(AND($C15="Goal",BJ$7&gt;=$F15,BJ$7&lt;=$F15+$G15-1),2,IF(AND($C15="Milestone",BJ$7&gt;=$F15,BJ$7&lt;=$F15+$G15-1),1,""))</f>
        <v/>
      </c>
      <c r="BK15" s="23" t="str">
        <f ca="1">IF(AND($C15="Goal",BK$7&gt;=$F15,BK$7&lt;=$F15+$G15-1),2,IF(AND($C15="Milestone",BK$7&gt;=$F15,BK$7&lt;=$F15+$G15-1),1,""))</f>
        <v/>
      </c>
      <c r="BL15" s="23" t="str">
        <f ca="1">IF(AND($C15="Goal",BL$7&gt;=$F15,BL$7&lt;=$F15+$G15-1),2,IF(AND($C15="Milestone",BL$7&gt;=$F15,BL$7&lt;=$F15+$G15-1),1,""))</f>
        <v/>
      </c>
      <c r="BM15" s="24"/>
    </row>
    <row r="16" spans="1:68" s="1" customFormat="1" ht="40.15" customHeight="1" x14ac:dyDescent="0.25">
      <c r="A16" s="9"/>
      <c r="B16" s="133" t="s">
        <v>55</v>
      </c>
      <c r="C16" s="21" t="s">
        <v>15</v>
      </c>
      <c r="D16" s="21" t="s">
        <v>40</v>
      </c>
      <c r="E16" s="138">
        <v>1</v>
      </c>
      <c r="F16" s="139">
        <v>46085</v>
      </c>
      <c r="G16" s="140">
        <v>4</v>
      </c>
      <c r="H16" s="19"/>
      <c r="I16" s="43" t="str">
        <f ca="1">IF(AND($C17="Goal",I$7&gt;=$F17,I$7&lt;=$F17+$G17-1),2,IF(AND($C17="Milestone",I$7&gt;=$F17,I$7&lt;=$F17+$G17-1),1,""))</f>
        <v/>
      </c>
      <c r="J16" s="23" t="str">
        <f ca="1">IF(AND($C17="Goal",J$7&gt;=$F17,J$7&lt;=$F17+$G17-1),2,IF(AND($C17="Milestone",J$7&gt;=$F17,J$7&lt;=$F17+$G17-1),1,""))</f>
        <v/>
      </c>
      <c r="K16" s="23" t="str">
        <f ca="1">IF(AND($C17="Goal",K$7&gt;=$F17,K$7&lt;=$F17+$G17-1),2,IF(AND($C17="Milestone",K$7&gt;=$F17,K$7&lt;=$F17+$G17-1),1,""))</f>
        <v/>
      </c>
      <c r="L16" s="23" t="str">
        <f ca="1">IF(AND($C17="Goal",L$7&gt;=$F17,L$7&lt;=$F17+$G17-1),2,IF(AND($C17="Milestone",L$7&gt;=$F17,L$7&lt;=$F17+$G17-1),1,""))</f>
        <v/>
      </c>
      <c r="M16" s="23" t="str">
        <f ca="1">IF(AND($C17="Goal",M$7&gt;=$F17,M$7&lt;=$F17+$G17-1),2,IF(AND($C17="Milestone",M$7&gt;=$F17,M$7&lt;=$F17+$G17-1),1,""))</f>
        <v/>
      </c>
      <c r="N16" s="23" t="str">
        <f ca="1">IF(AND($C17="Goal",N$7&gt;=$F17,N$7&lt;=$F17+$G17-1),2,IF(AND($C17="Milestone",N$7&gt;=$F17,N$7&lt;=$F17+$G17-1),1,""))</f>
        <v/>
      </c>
      <c r="O16" s="23" t="str">
        <f ca="1">IF(AND($C17="Goal",O$7&gt;=$F17,O$7&lt;=$F17+$G17-1),2,IF(AND($C17="Milestone",O$7&gt;=$F17,O$7&lt;=$F17+$G17-1),1,""))</f>
        <v/>
      </c>
      <c r="P16" s="23" t="str">
        <f ca="1">IF(AND($C17="Goal",P$7&gt;=$F17,P$7&lt;=$F17+$G17-1),2,IF(AND($C17="Milestone",P$7&gt;=$F17,P$7&lt;=$F17+$G17-1),1,""))</f>
        <v/>
      </c>
      <c r="Q16" s="23" t="str">
        <f ca="1">IF(AND($C17="Goal",Q$7&gt;=$F17,Q$7&lt;=$F17+$G17-1),2,IF(AND($C17="Milestone",Q$7&gt;=$F17,Q$7&lt;=$F17+$G17-1),1,""))</f>
        <v/>
      </c>
      <c r="R16" s="23" t="str">
        <f ca="1">IF(AND($C17="Goal",R$7&gt;=$F17,R$7&lt;=$F17+$G17-1),2,IF(AND($C17="Milestone",R$7&gt;=$F17,R$7&lt;=$F17+$G17-1),1,""))</f>
        <v/>
      </c>
      <c r="S16" s="23" t="str">
        <f ca="1">IF(AND($C17="Goal",S$7&gt;=$F17,S$7&lt;=$F17+$G17-1),2,IF(AND($C17="Milestone",S$7&gt;=$F17,S$7&lt;=$F17+$G17-1),1,""))</f>
        <v/>
      </c>
      <c r="T16" s="23" t="str">
        <f ca="1">IF(AND($C17="Goal",T$7&gt;=$F17,T$7&lt;=$F17+$G17-1),2,IF(AND($C17="Milestone",T$7&gt;=$F17,T$7&lt;=$F17+$G17-1),1,""))</f>
        <v/>
      </c>
      <c r="U16" s="23" t="str">
        <f ca="1">IF(AND($C17="Goal",U$7&gt;=$F17,U$7&lt;=$F17+$G17-1),2,IF(AND($C17="Milestone",U$7&gt;=$F17,U$7&lt;=$F17+$G17-1),1,""))</f>
        <v/>
      </c>
      <c r="V16" s="23" t="str">
        <f ca="1">IF(AND($C17="Goal",V$7&gt;=$F17,V$7&lt;=$F17+$G17-1),2,IF(AND($C17="Milestone",V$7&gt;=$F17,V$7&lt;=$F17+$G17-1),1,""))</f>
        <v/>
      </c>
      <c r="W16" s="23" t="str">
        <f ca="1">IF(AND($C17="Goal",W$7&gt;=$F17,W$7&lt;=$F17+$G17-1),2,IF(AND($C17="Milestone",W$7&gt;=$F17,W$7&lt;=$F17+$G17-1),1,""))</f>
        <v/>
      </c>
      <c r="X16" s="23" t="str">
        <f ca="1">IF(AND($C17="Goal",X$7&gt;=$F17,X$7&lt;=$F17+$G17-1),2,IF(AND($C17="Milestone",X$7&gt;=$F17,X$7&lt;=$F17+$G17-1),1,""))</f>
        <v/>
      </c>
      <c r="Y16" s="23" t="str">
        <f ca="1">IF(AND($C17="Goal",Y$7&gt;=$F17,Y$7&lt;=$F17+$G17-1),2,IF(AND($C17="Milestone",Y$7&gt;=$F17,Y$7&lt;=$F17+$G17-1),1,""))</f>
        <v/>
      </c>
      <c r="Z16" s="23" t="str">
        <f ca="1">IF(AND($C17="Goal",Z$7&gt;=$F17,Z$7&lt;=$F17+$G17-1),2,IF(AND($C17="Milestone",Z$7&gt;=$F17,Z$7&lt;=$F17+$G17-1),1,""))</f>
        <v/>
      </c>
      <c r="AA16" s="23" t="str">
        <f ca="1">IF(AND($C17="Goal",AA$7&gt;=$F17,AA$7&lt;=$F17+$G17-1),2,IF(AND($C17="Milestone",AA$7&gt;=$F17,AA$7&lt;=$F17+$G17-1),1,""))</f>
        <v/>
      </c>
      <c r="AB16" s="23" t="str">
        <f ca="1">IF(AND($C17="Goal",AB$7&gt;=$F17,AB$7&lt;=$F17+$G17-1),2,IF(AND($C17="Milestone",AB$7&gt;=$F17,AB$7&lt;=$F17+$G17-1),1,""))</f>
        <v/>
      </c>
      <c r="AC16" s="23" t="str">
        <f ca="1">IF(AND($C17="Goal",AC$7&gt;=$F17,AC$7&lt;=$F17+$G17-1),2,IF(AND($C17="Milestone",AC$7&gt;=$F17,AC$7&lt;=$F17+$G17-1),1,""))</f>
        <v/>
      </c>
      <c r="AD16" s="23" t="str">
        <f ca="1">IF(AND($C17="Goal",AD$7&gt;=$F17,AD$7&lt;=$F17+$G17-1),2,IF(AND($C17="Milestone",AD$7&gt;=$F17,AD$7&lt;=$F17+$G17-1),1,""))</f>
        <v/>
      </c>
      <c r="AE16" s="23" t="str">
        <f ca="1">IF(AND($C17="Goal",AE$7&gt;=$F17,AE$7&lt;=$F17+$G17-1),2,IF(AND($C17="Milestone",AE$7&gt;=$F17,AE$7&lt;=$F17+$G17-1),1,""))</f>
        <v/>
      </c>
      <c r="AF16" s="23" t="str">
        <f ca="1">IF(AND($C17="Goal",AF$7&gt;=$F17,AF$7&lt;=$F17+$G17-1),2,IF(AND($C17="Milestone",AF$7&gt;=$F17,AF$7&lt;=$F17+$G17-1),1,""))</f>
        <v/>
      </c>
      <c r="AG16" s="23" t="str">
        <f ca="1">IF(AND($C17="Goal",AG$7&gt;=$F17,AG$7&lt;=$F17+$G17-1),2,IF(AND($C17="Milestone",AG$7&gt;=$F17,AG$7&lt;=$F17+$G17-1),1,""))</f>
        <v/>
      </c>
      <c r="AH16" s="23" t="str">
        <f ca="1">IF(AND($C17="Goal",AH$7&gt;=$F17,AH$7&lt;=$F17+$G17-1),2,IF(AND($C17="Milestone",AH$7&gt;=$F17,AH$7&lt;=$F17+$G17-1),1,""))</f>
        <v/>
      </c>
      <c r="AI16" s="23" t="str">
        <f ca="1">IF(AND($C17="Goal",AI$7&gt;=$F17,AI$7&lt;=$F17+$G17-1),2,IF(AND($C17="Milestone",AI$7&gt;=$F17,AI$7&lt;=$F17+$G17-1),1,""))</f>
        <v/>
      </c>
      <c r="AJ16" s="23" t="str">
        <f ca="1">IF(AND($C17="Goal",AJ$7&gt;=$F17,AJ$7&lt;=$F17+$G17-1),2,IF(AND($C17="Milestone",AJ$7&gt;=$F17,AJ$7&lt;=$F17+$G17-1),1,""))</f>
        <v/>
      </c>
      <c r="AK16" s="23" t="str">
        <f ca="1">IF(AND($C17="Goal",AK$7&gt;=$F17,AK$7&lt;=$F17+$G17-1),2,IF(AND($C17="Milestone",AK$7&gt;=$F17,AK$7&lt;=$F17+$G17-1),1,""))</f>
        <v/>
      </c>
      <c r="AL16" s="23" t="str">
        <f ca="1">IF(AND($C17="Goal",AL$7&gt;=$F17,AL$7&lt;=$F17+$G17-1),2,IF(AND($C17="Milestone",AL$7&gt;=$F17,AL$7&lt;=$F17+$G17-1),1,""))</f>
        <v/>
      </c>
      <c r="AM16" s="23" t="str">
        <f ca="1">IF(AND($C17="Goal",AM$7&gt;=$F17,AM$7&lt;=$F17+$G17-1),2,IF(AND($C17="Milestone",AM$7&gt;=$F17,AM$7&lt;=$F17+$G17-1),1,""))</f>
        <v/>
      </c>
      <c r="AN16" s="23" t="str">
        <f ca="1">IF(AND($C17="Goal",AN$7&gt;=$F17,AN$7&lt;=$F17+$G17-1),2,IF(AND($C17="Milestone",AN$7&gt;=$F17,AN$7&lt;=$F17+$G17-1),1,""))</f>
        <v/>
      </c>
      <c r="AO16" s="23" t="str">
        <f ca="1">IF(AND($C17="Goal",AO$7&gt;=$F17,AO$7&lt;=$F17+$G17-1),2,IF(AND($C17="Milestone",AO$7&gt;=$F17,AO$7&lt;=$F17+$G17-1),1,""))</f>
        <v/>
      </c>
      <c r="AP16" s="23" t="str">
        <f ca="1">IF(AND($C17="Goal",AP$7&gt;=$F17,AP$7&lt;=$F17+$G17-1),2,IF(AND($C17="Milestone",AP$7&gt;=$F17,AP$7&lt;=$F17+$G17-1),1,""))</f>
        <v/>
      </c>
      <c r="AQ16" s="23" t="str">
        <f ca="1">IF(AND($C17="Goal",AQ$7&gt;=$F17,AQ$7&lt;=$F17+$G17-1),2,IF(AND($C17="Milestone",AQ$7&gt;=$F17,AQ$7&lt;=$F17+$G17-1),1,""))</f>
        <v/>
      </c>
      <c r="AR16" s="23" t="str">
        <f ca="1">IF(AND($C17="Goal",AR$7&gt;=$F17,AR$7&lt;=$F17+$G17-1),2,IF(AND($C17="Milestone",AR$7&gt;=$F17,AR$7&lt;=$F17+$G17-1),1,""))</f>
        <v/>
      </c>
      <c r="AS16" s="23" t="str">
        <f ca="1">IF(AND($C17="Goal",AS$7&gt;=$F17,AS$7&lt;=$F17+$G17-1),2,IF(AND($C17="Milestone",AS$7&gt;=$F17,AS$7&lt;=$F17+$G17-1),1,""))</f>
        <v/>
      </c>
      <c r="AT16" s="23" t="str">
        <f ca="1">IF(AND($C17="Goal",AT$7&gt;=$F17,AT$7&lt;=$F17+$G17-1),2,IF(AND($C17="Milestone",AT$7&gt;=$F17,AT$7&lt;=$F17+$G17-1),1,""))</f>
        <v/>
      </c>
      <c r="AU16" s="23" t="str">
        <f ca="1">IF(AND($C17="Goal",AU$7&gt;=$F17,AU$7&lt;=$F17+$G17-1),2,IF(AND($C17="Milestone",AU$7&gt;=$F17,AU$7&lt;=$F17+$G17-1),1,""))</f>
        <v/>
      </c>
      <c r="AV16" s="23" t="str">
        <f ca="1">IF(AND($C17="Goal",AV$7&gt;=$F17,AV$7&lt;=$F17+$G17-1),2,IF(AND($C17="Milestone",AV$7&gt;=$F17,AV$7&lt;=$F17+$G17-1),1,""))</f>
        <v/>
      </c>
      <c r="AW16" s="23" t="str">
        <f ca="1">IF(AND($C17="Goal",AW$7&gt;=$F17,AW$7&lt;=$F17+$G17-1),2,IF(AND($C17="Milestone",AW$7&gt;=$F17,AW$7&lt;=$F17+$G17-1),1,""))</f>
        <v/>
      </c>
      <c r="AX16" s="23" t="str">
        <f ca="1">IF(AND($C17="Goal",AX$7&gt;=$F17,AX$7&lt;=$F17+$G17-1),2,IF(AND($C17="Milestone",AX$7&gt;=$F17,AX$7&lt;=$F17+$G17-1),1,""))</f>
        <v/>
      </c>
      <c r="AY16" s="23" t="str">
        <f ca="1">IF(AND($C17="Goal",AY$7&gt;=$F17,AY$7&lt;=$F17+$G17-1),2,IF(AND($C17="Milestone",AY$7&gt;=$F17,AY$7&lt;=$F17+$G17-1),1,""))</f>
        <v/>
      </c>
      <c r="AZ16" s="23" t="str">
        <f ca="1">IF(AND($C17="Goal",AZ$7&gt;=$F17,AZ$7&lt;=$F17+$G17-1),2,IF(AND($C17="Milestone",AZ$7&gt;=$F17,AZ$7&lt;=$F17+$G17-1),1,""))</f>
        <v/>
      </c>
      <c r="BA16" s="23" t="str">
        <f ca="1">IF(AND($C17="Goal",BA$7&gt;=$F17,BA$7&lt;=$F17+$G17-1),2,IF(AND($C17="Milestone",BA$7&gt;=$F17,BA$7&lt;=$F17+$G17-1),1,""))</f>
        <v/>
      </c>
      <c r="BB16" s="23" t="str">
        <f ca="1">IF(AND($C17="Goal",BB$7&gt;=$F17,BB$7&lt;=$F17+$G17-1),2,IF(AND($C17="Milestone",BB$7&gt;=$F17,BB$7&lt;=$F17+$G17-1),1,""))</f>
        <v/>
      </c>
      <c r="BC16" s="23" t="str">
        <f ca="1">IF(AND($C17="Goal",BC$7&gt;=$F17,BC$7&lt;=$F17+$G17-1),2,IF(AND($C17="Milestone",BC$7&gt;=$F17,BC$7&lt;=$F17+$G17-1),1,""))</f>
        <v/>
      </c>
      <c r="BD16" s="23" t="str">
        <f ca="1">IF(AND($C17="Goal",BD$7&gt;=$F17,BD$7&lt;=$F17+$G17-1),2,IF(AND($C17="Milestone",BD$7&gt;=$F17,BD$7&lt;=$F17+$G17-1),1,""))</f>
        <v/>
      </c>
      <c r="BE16" s="23" t="str">
        <f ca="1">IF(AND($C17="Goal",BE$7&gt;=$F17,BE$7&lt;=$F17+$G17-1),2,IF(AND($C17="Milestone",BE$7&gt;=$F17,BE$7&lt;=$F17+$G17-1),1,""))</f>
        <v/>
      </c>
      <c r="BF16" s="23" t="str">
        <f ca="1">IF(AND($C17="Goal",BF$7&gt;=$F17,BF$7&lt;=$F17+$G17-1),2,IF(AND($C17="Milestone",BF$7&gt;=$F17,BF$7&lt;=$F17+$G17-1),1,""))</f>
        <v/>
      </c>
      <c r="BG16" s="23" t="str">
        <f ca="1">IF(AND($C17="Goal",BG$7&gt;=$F17,BG$7&lt;=$F17+$G17-1),2,IF(AND($C17="Milestone",BG$7&gt;=$F17,BG$7&lt;=$F17+$G17-1),1,""))</f>
        <v/>
      </c>
      <c r="BH16" s="23" t="str">
        <f ca="1">IF(AND($C17="Goal",BH$7&gt;=$F17,BH$7&lt;=$F17+$G17-1),2,IF(AND($C17="Milestone",BH$7&gt;=$F17,BH$7&lt;=$F17+$G17-1),1,""))</f>
        <v/>
      </c>
      <c r="BI16" s="23" t="str">
        <f ca="1">IF(AND($C17="Goal",BI$7&gt;=$F17,BI$7&lt;=$F17+$G17-1),2,IF(AND($C17="Milestone",BI$7&gt;=$F17,BI$7&lt;=$F17+$G17-1),1,""))</f>
        <v/>
      </c>
      <c r="BJ16" s="23" t="str">
        <f ca="1">IF(AND($C17="Goal",BJ$7&gt;=$F17,BJ$7&lt;=$F17+$G17-1),2,IF(AND($C17="Milestone",BJ$7&gt;=$F17,BJ$7&lt;=$F17+$G17-1),1,""))</f>
        <v/>
      </c>
      <c r="BK16" s="23" t="str">
        <f ca="1">IF(AND($C17="Goal",BK$7&gt;=$F17,BK$7&lt;=$F17+$G17-1),2,IF(AND($C17="Milestone",BK$7&gt;=$F17,BK$7&lt;=$F17+$G17-1),1,""))</f>
        <v/>
      </c>
      <c r="BL16" s="23" t="str">
        <f ca="1">IF(AND($C17="Goal",BL$7&gt;=$F17,BL$7&lt;=$F17+$G17-1),2,IF(AND($C17="Milestone",BL$7&gt;=$F17,BL$7&lt;=$F17+$G17-1),1,""))</f>
        <v/>
      </c>
      <c r="BM16" s="24"/>
    </row>
    <row r="17" spans="1:65" s="1" customFormat="1" ht="40.15" customHeight="1" x14ac:dyDescent="0.25">
      <c r="A17" s="10"/>
      <c r="B17" s="137" t="s">
        <v>44</v>
      </c>
      <c r="C17" s="21" t="s">
        <v>13</v>
      </c>
      <c r="D17" s="21" t="s">
        <v>40</v>
      </c>
      <c r="E17" s="138">
        <v>1</v>
      </c>
      <c r="F17" s="139">
        <v>46085</v>
      </c>
      <c r="G17" s="140">
        <v>6</v>
      </c>
      <c r="H17" s="19"/>
      <c r="I17" s="43" t="str">
        <f ca="1">IF(AND($C20="Goal",I$7&gt;=$F20,I$7&lt;=$F20+$G20-1),2,IF(AND($C20="Milestone",I$7&gt;=$F20,I$7&lt;=$F20+$G20-1),1,""))</f>
        <v/>
      </c>
      <c r="J17" s="23" t="str">
        <f ca="1">IF(AND($C20="Goal",J$7&gt;=$F20,J$7&lt;=$F20+$G20-1),2,IF(AND($C20="Milestone",J$7&gt;=$F20,J$7&lt;=$F20+$G20-1),1,""))</f>
        <v/>
      </c>
      <c r="K17" s="23" t="str">
        <f ca="1">IF(AND($C20="Goal",K$7&gt;=$F20,K$7&lt;=$F20+$G20-1),2,IF(AND($C20="Milestone",K$7&gt;=$F20,K$7&lt;=$F20+$G20-1),1,""))</f>
        <v/>
      </c>
      <c r="L17" s="23" t="str">
        <f ca="1">IF(AND($C20="Goal",L$7&gt;=$F20,L$7&lt;=$F20+$G20-1),2,IF(AND($C20="Milestone",L$7&gt;=$F20,L$7&lt;=$F20+$G20-1),1,""))</f>
        <v/>
      </c>
      <c r="M17" s="23" t="str">
        <f ca="1">IF(AND($C20="Goal",M$7&gt;=$F20,M$7&lt;=$F20+$G20-1),2,IF(AND($C20="Milestone",M$7&gt;=$F20,M$7&lt;=$F20+$G20-1),1,""))</f>
        <v/>
      </c>
      <c r="N17" s="23" t="str">
        <f ca="1">IF(AND($C20="Goal",N$7&gt;=$F20,N$7&lt;=$F20+$G20-1),2,IF(AND($C20="Milestone",N$7&gt;=$F20,N$7&lt;=$F20+$G20-1),1,""))</f>
        <v/>
      </c>
      <c r="O17" s="23" t="str">
        <f ca="1">IF(AND($C20="Goal",O$7&gt;=$F20,O$7&lt;=$F20+$G20-1),2,IF(AND($C20="Milestone",O$7&gt;=$F20,O$7&lt;=$F20+$G20-1),1,""))</f>
        <v/>
      </c>
      <c r="P17" s="23" t="str">
        <f ca="1">IF(AND($C20="Goal",P$7&gt;=$F20,P$7&lt;=$F20+$G20-1),2,IF(AND($C20="Milestone",P$7&gt;=$F20,P$7&lt;=$F20+$G20-1),1,""))</f>
        <v/>
      </c>
      <c r="Q17" s="23" t="str">
        <f ca="1">IF(AND($C20="Goal",Q$7&gt;=$F20,Q$7&lt;=$F20+$G20-1),2,IF(AND($C20="Milestone",Q$7&gt;=$F20,Q$7&lt;=$F20+$G20-1),1,""))</f>
        <v/>
      </c>
      <c r="R17" s="23" t="str">
        <f ca="1">IF(AND($C20="Goal",R$7&gt;=$F20,R$7&lt;=$F20+$G20-1),2,IF(AND($C20="Milestone",R$7&gt;=$F20,R$7&lt;=$F20+$G20-1),1,""))</f>
        <v/>
      </c>
      <c r="S17" s="23" t="str">
        <f ca="1">IF(AND($C20="Goal",S$7&gt;=$F20,S$7&lt;=$F20+$G20-1),2,IF(AND($C20="Milestone",S$7&gt;=$F20,S$7&lt;=$F20+$G20-1),1,""))</f>
        <v/>
      </c>
      <c r="T17" s="23" t="str">
        <f ca="1">IF(AND($C20="Goal",T$7&gt;=$F20,T$7&lt;=$F20+$G20-1),2,IF(AND($C20="Milestone",T$7&gt;=$F20,T$7&lt;=$F20+$G20-1),1,""))</f>
        <v/>
      </c>
      <c r="U17" s="23" t="str">
        <f ca="1">IF(AND($C20="Goal",U$7&gt;=$F20,U$7&lt;=$F20+$G20-1),2,IF(AND($C20="Milestone",U$7&gt;=$F20,U$7&lt;=$F20+$G20-1),1,""))</f>
        <v/>
      </c>
      <c r="V17" s="23" t="str">
        <f ca="1">IF(AND($C20="Goal",V$7&gt;=$F20,V$7&lt;=$F20+$G20-1),2,IF(AND($C20="Milestone",V$7&gt;=$F20,V$7&lt;=$F20+$G20-1),1,""))</f>
        <v/>
      </c>
      <c r="W17" s="23" t="str">
        <f ca="1">IF(AND($C20="Goal",W$7&gt;=$F20,W$7&lt;=$F20+$G20-1),2,IF(AND($C20="Milestone",W$7&gt;=$F20,W$7&lt;=$F20+$G20-1),1,""))</f>
        <v/>
      </c>
      <c r="X17" s="23" t="str">
        <f ca="1">IF(AND($C20="Goal",X$7&gt;=$F20,X$7&lt;=$F20+$G20-1),2,IF(AND($C20="Milestone",X$7&gt;=$F20,X$7&lt;=$F20+$G20-1),1,""))</f>
        <v/>
      </c>
      <c r="Y17" s="23" t="str">
        <f ca="1">IF(AND($C20="Goal",Y$7&gt;=$F20,Y$7&lt;=$F20+$G20-1),2,IF(AND($C20="Milestone",Y$7&gt;=$F20,Y$7&lt;=$F20+$G20-1),1,""))</f>
        <v/>
      </c>
      <c r="Z17" s="23" t="str">
        <f ca="1">IF(AND($C20="Goal",Z$7&gt;=$F20,Z$7&lt;=$F20+$G20-1),2,IF(AND($C20="Milestone",Z$7&gt;=$F20,Z$7&lt;=$F20+$G20-1),1,""))</f>
        <v/>
      </c>
      <c r="AA17" s="23" t="str">
        <f ca="1">IF(AND($C20="Goal",AA$7&gt;=$F20,AA$7&lt;=$F20+$G20-1),2,IF(AND($C20="Milestone",AA$7&gt;=$F20,AA$7&lt;=$F20+$G20-1),1,""))</f>
        <v/>
      </c>
      <c r="AB17" s="23" t="str">
        <f ca="1">IF(AND($C20="Goal",AB$7&gt;=$F20,AB$7&lt;=$F20+$G20-1),2,IF(AND($C20="Milestone",AB$7&gt;=$F20,AB$7&lt;=$F20+$G20-1),1,""))</f>
        <v/>
      </c>
      <c r="AC17" s="23" t="str">
        <f ca="1">IF(AND($C20="Goal",AC$7&gt;=$F20,AC$7&lt;=$F20+$G20-1),2,IF(AND($C20="Milestone",AC$7&gt;=$F20,AC$7&lt;=$F20+$G20-1),1,""))</f>
        <v/>
      </c>
      <c r="AD17" s="23" t="str">
        <f ca="1">IF(AND($C20="Goal",AD$7&gt;=$F20,AD$7&lt;=$F20+$G20-1),2,IF(AND($C20="Milestone",AD$7&gt;=$F20,AD$7&lt;=$F20+$G20-1),1,""))</f>
        <v/>
      </c>
      <c r="AE17" s="23" t="str">
        <f ca="1">IF(AND($C20="Goal",AE$7&gt;=$F20,AE$7&lt;=$F20+$G20-1),2,IF(AND($C20="Milestone",AE$7&gt;=$F20,AE$7&lt;=$F20+$G20-1),1,""))</f>
        <v/>
      </c>
      <c r="AF17" s="23" t="str">
        <f ca="1">IF(AND($C20="Goal",AF$7&gt;=$F20,AF$7&lt;=$F20+$G20-1),2,IF(AND($C20="Milestone",AF$7&gt;=$F20,AF$7&lt;=$F20+$G20-1),1,""))</f>
        <v/>
      </c>
      <c r="AG17" s="23" t="str">
        <f ca="1">IF(AND($C20="Goal",AG$7&gt;=$F20,AG$7&lt;=$F20+$G20-1),2,IF(AND($C20="Milestone",AG$7&gt;=$F20,AG$7&lt;=$F20+$G20-1),1,""))</f>
        <v/>
      </c>
      <c r="AH17" s="23" t="str">
        <f ca="1">IF(AND($C20="Goal",AH$7&gt;=$F20,AH$7&lt;=$F20+$G20-1),2,IF(AND($C20="Milestone",AH$7&gt;=$F20,AH$7&lt;=$F20+$G20-1),1,""))</f>
        <v/>
      </c>
      <c r="AI17" s="23" t="str">
        <f ca="1">IF(AND($C20="Goal",AI$7&gt;=$F20,AI$7&lt;=$F20+$G20-1),2,IF(AND($C20="Milestone",AI$7&gt;=$F20,AI$7&lt;=$F20+$G20-1),1,""))</f>
        <v/>
      </c>
      <c r="AJ17" s="23" t="str">
        <f ca="1">IF(AND($C20="Goal",AJ$7&gt;=$F20,AJ$7&lt;=$F20+$G20-1),2,IF(AND($C20="Milestone",AJ$7&gt;=$F20,AJ$7&lt;=$F20+$G20-1),1,""))</f>
        <v/>
      </c>
      <c r="AK17" s="23" t="str">
        <f ca="1">IF(AND($C20="Goal",AK$7&gt;=$F20,AK$7&lt;=$F20+$G20-1),2,IF(AND($C20="Milestone",AK$7&gt;=$F20,AK$7&lt;=$F20+$G20-1),1,""))</f>
        <v/>
      </c>
      <c r="AL17" s="23" t="str">
        <f ca="1">IF(AND($C20="Goal",AL$7&gt;=$F20,AL$7&lt;=$F20+$G20-1),2,IF(AND($C20="Milestone",AL$7&gt;=$F20,AL$7&lt;=$F20+$G20-1),1,""))</f>
        <v/>
      </c>
      <c r="AM17" s="23" t="str">
        <f ca="1">IF(AND($C20="Goal",AM$7&gt;=$F20,AM$7&lt;=$F20+$G20-1),2,IF(AND($C20="Milestone",AM$7&gt;=$F20,AM$7&lt;=$F20+$G20-1),1,""))</f>
        <v/>
      </c>
      <c r="AN17" s="23" t="str">
        <f ca="1">IF(AND($C20="Goal",AN$7&gt;=$F20,AN$7&lt;=$F20+$G20-1),2,IF(AND($C20="Milestone",AN$7&gt;=$F20,AN$7&lt;=$F20+$G20-1),1,""))</f>
        <v/>
      </c>
      <c r="AO17" s="23" t="str">
        <f ca="1">IF(AND($C20="Goal",AO$7&gt;=$F20,AO$7&lt;=$F20+$G20-1),2,IF(AND($C20="Milestone",AO$7&gt;=$F20,AO$7&lt;=$F20+$G20-1),1,""))</f>
        <v/>
      </c>
      <c r="AP17" s="23" t="str">
        <f ca="1">IF(AND($C20="Goal",AP$7&gt;=$F20,AP$7&lt;=$F20+$G20-1),2,IF(AND($C20="Milestone",AP$7&gt;=$F20,AP$7&lt;=$F20+$G20-1),1,""))</f>
        <v/>
      </c>
      <c r="AQ17" s="23" t="str">
        <f ca="1">IF(AND($C20="Goal",AQ$7&gt;=$F20,AQ$7&lt;=$F20+$G20-1),2,IF(AND($C20="Milestone",AQ$7&gt;=$F20,AQ$7&lt;=$F20+$G20-1),1,""))</f>
        <v/>
      </c>
      <c r="AR17" s="23" t="str">
        <f ca="1">IF(AND($C20="Goal",AR$7&gt;=$F20,AR$7&lt;=$F20+$G20-1),2,IF(AND($C20="Milestone",AR$7&gt;=$F20,AR$7&lt;=$F20+$G20-1),1,""))</f>
        <v/>
      </c>
      <c r="AS17" s="23" t="str">
        <f ca="1">IF(AND($C20="Goal",AS$7&gt;=$F20,AS$7&lt;=$F20+$G20-1),2,IF(AND($C20="Milestone",AS$7&gt;=$F20,AS$7&lt;=$F20+$G20-1),1,""))</f>
        <v/>
      </c>
      <c r="AT17" s="23" t="str">
        <f ca="1">IF(AND($C20="Goal",AT$7&gt;=$F20,AT$7&lt;=$F20+$G20-1),2,IF(AND($C20="Milestone",AT$7&gt;=$F20,AT$7&lt;=$F20+$G20-1),1,""))</f>
        <v/>
      </c>
      <c r="AU17" s="23" t="str">
        <f ca="1">IF(AND($C20="Goal",AU$7&gt;=$F20,AU$7&lt;=$F20+$G20-1),2,IF(AND($C20="Milestone",AU$7&gt;=$F20,AU$7&lt;=$F20+$G20-1),1,""))</f>
        <v/>
      </c>
      <c r="AV17" s="23" t="str">
        <f ca="1">IF(AND($C20="Goal",AV$7&gt;=$F20,AV$7&lt;=$F20+$G20-1),2,IF(AND($C20="Milestone",AV$7&gt;=$F20,AV$7&lt;=$F20+$G20-1),1,""))</f>
        <v/>
      </c>
      <c r="AW17" s="23" t="str">
        <f ca="1">IF(AND($C20="Goal",AW$7&gt;=$F20,AW$7&lt;=$F20+$G20-1),2,IF(AND($C20="Milestone",AW$7&gt;=$F20,AW$7&lt;=$F20+$G20-1),1,""))</f>
        <v/>
      </c>
      <c r="AX17" s="23" t="str">
        <f ca="1">IF(AND($C20="Goal",AX$7&gt;=$F20,AX$7&lt;=$F20+$G20-1),2,IF(AND($C20="Milestone",AX$7&gt;=$F20,AX$7&lt;=$F20+$G20-1),1,""))</f>
        <v/>
      </c>
      <c r="AY17" s="23" t="str">
        <f ca="1">IF(AND($C20="Goal",AY$7&gt;=$F20,AY$7&lt;=$F20+$G20-1),2,IF(AND($C20="Milestone",AY$7&gt;=$F20,AY$7&lt;=$F20+$G20-1),1,""))</f>
        <v/>
      </c>
      <c r="AZ17" s="23" t="str">
        <f ca="1">IF(AND($C20="Goal",AZ$7&gt;=$F20,AZ$7&lt;=$F20+$G20-1),2,IF(AND($C20="Milestone",AZ$7&gt;=$F20,AZ$7&lt;=$F20+$G20-1),1,""))</f>
        <v/>
      </c>
      <c r="BA17" s="23" t="str">
        <f ca="1">IF(AND($C20="Goal",BA$7&gt;=$F20,BA$7&lt;=$F20+$G20-1),2,IF(AND($C20="Milestone",BA$7&gt;=$F20,BA$7&lt;=$F20+$G20-1),1,""))</f>
        <v/>
      </c>
      <c r="BB17" s="23" t="str">
        <f ca="1">IF(AND($C20="Goal",BB$7&gt;=$F20,BB$7&lt;=$F20+$G20-1),2,IF(AND($C20="Milestone",BB$7&gt;=$F20,BB$7&lt;=$F20+$G20-1),1,""))</f>
        <v/>
      </c>
      <c r="BC17" s="23" t="str">
        <f ca="1">IF(AND($C20="Goal",BC$7&gt;=$F20,BC$7&lt;=$F20+$G20-1),2,IF(AND($C20="Milestone",BC$7&gt;=$F20,BC$7&lt;=$F20+$G20-1),1,""))</f>
        <v/>
      </c>
      <c r="BD17" s="23" t="str">
        <f ca="1">IF(AND($C20="Goal",BD$7&gt;=$F20,BD$7&lt;=$F20+$G20-1),2,IF(AND($C20="Milestone",BD$7&gt;=$F20,BD$7&lt;=$F20+$G20-1),1,""))</f>
        <v/>
      </c>
      <c r="BE17" s="23" t="str">
        <f ca="1">IF(AND($C20="Goal",BE$7&gt;=$F20,BE$7&lt;=$F20+$G20-1),2,IF(AND($C20="Milestone",BE$7&gt;=$F20,BE$7&lt;=$F20+$G20-1),1,""))</f>
        <v/>
      </c>
      <c r="BF17" s="23" t="str">
        <f ca="1">IF(AND($C20="Goal",BF$7&gt;=$F20,BF$7&lt;=$F20+$G20-1),2,IF(AND($C20="Milestone",BF$7&gt;=$F20,BF$7&lt;=$F20+$G20-1),1,""))</f>
        <v/>
      </c>
      <c r="BG17" s="23" t="str">
        <f ca="1">IF(AND($C20="Goal",BG$7&gt;=$F20,BG$7&lt;=$F20+$G20-1),2,IF(AND($C20="Milestone",BG$7&gt;=$F20,BG$7&lt;=$F20+$G20-1),1,""))</f>
        <v/>
      </c>
      <c r="BH17" s="23" t="str">
        <f ca="1">IF(AND($C20="Goal",BH$7&gt;=$F20,BH$7&lt;=$F20+$G20-1),2,IF(AND($C20="Milestone",BH$7&gt;=$F20,BH$7&lt;=$F20+$G20-1),1,""))</f>
        <v/>
      </c>
      <c r="BI17" s="23" t="str">
        <f ca="1">IF(AND($C20="Goal",BI$7&gt;=$F20,BI$7&lt;=$F20+$G20-1),2,IF(AND($C20="Milestone",BI$7&gt;=$F20,BI$7&lt;=$F20+$G20-1),1,""))</f>
        <v/>
      </c>
      <c r="BJ17" s="23" t="str">
        <f ca="1">IF(AND($C20="Goal",BJ$7&gt;=$F20,BJ$7&lt;=$F20+$G20-1),2,IF(AND($C20="Milestone",BJ$7&gt;=$F20,BJ$7&lt;=$F20+$G20-1),1,""))</f>
        <v/>
      </c>
      <c r="BK17" s="23" t="str">
        <f ca="1">IF(AND($C20="Goal",BK$7&gt;=$F20,BK$7&lt;=$F20+$G20-1),2,IF(AND($C20="Milestone",BK$7&gt;=$F20,BK$7&lt;=$F20+$G20-1),1,""))</f>
        <v/>
      </c>
      <c r="BL17" s="23" t="str">
        <f ca="1">IF(AND($C20="Goal",BL$7&gt;=$F20,BL$7&lt;=$F20+$G20-1),2,IF(AND($C20="Milestone",BL$7&gt;=$F20,BL$7&lt;=$F20+$G20-1),1,""))</f>
        <v/>
      </c>
      <c r="BM17" s="24"/>
    </row>
    <row r="18" spans="1:65" s="1" customFormat="1" ht="40.15" customHeight="1" x14ac:dyDescent="0.25">
      <c r="A18" s="10"/>
      <c r="B18" s="137" t="s">
        <v>45</v>
      </c>
      <c r="C18" s="21" t="s">
        <v>13</v>
      </c>
      <c r="D18" s="21" t="s">
        <v>47</v>
      </c>
      <c r="E18" s="138">
        <v>1</v>
      </c>
      <c r="F18" s="139">
        <v>46085</v>
      </c>
      <c r="G18" s="140">
        <v>6</v>
      </c>
      <c r="H18" s="19"/>
      <c r="I18" s="43" t="str">
        <f ca="1">IF(AND($C25="Goal",I$7&gt;=$F25,I$7&lt;=$F25+$G25-1),2,IF(AND($C25="Milestone",I$7&gt;=$F25,I$7&lt;=$F25+$G25-1),1,""))</f>
        <v/>
      </c>
      <c r="J18" s="23" t="str">
        <f ca="1">IF(AND($C25="Goal",J$7&gt;=$F25,J$7&lt;=$F25+$G25-1),2,IF(AND($C25="Milestone",J$7&gt;=$F25,J$7&lt;=$F25+$G25-1),1,""))</f>
        <v/>
      </c>
      <c r="K18" s="23" t="str">
        <f ca="1">IF(AND($C25="Goal",K$7&gt;=$F25,K$7&lt;=$F25+$G25-1),2,IF(AND($C25="Milestone",K$7&gt;=$F25,K$7&lt;=$F25+$G25-1),1,""))</f>
        <v/>
      </c>
      <c r="L18" s="23" t="str">
        <f ca="1">IF(AND($C25="Goal",L$7&gt;=$F25,L$7&lt;=$F25+$G25-1),2,IF(AND($C25="Milestone",L$7&gt;=$F25,L$7&lt;=$F25+$G25-1),1,""))</f>
        <v/>
      </c>
      <c r="M18" s="23" t="str">
        <f ca="1">IF(AND($C25="Goal",M$7&gt;=$F25,M$7&lt;=$F25+$G25-1),2,IF(AND($C25="Milestone",M$7&gt;=$F25,M$7&lt;=$F25+$G25-1),1,""))</f>
        <v/>
      </c>
      <c r="N18" s="23" t="str">
        <f ca="1">IF(AND($C25="Goal",N$7&gt;=$F25,N$7&lt;=$F25+$G25-1),2,IF(AND($C25="Milestone",N$7&gt;=$F25,N$7&lt;=$F25+$G25-1),1,""))</f>
        <v/>
      </c>
      <c r="O18" s="23" t="str">
        <f ca="1">IF(AND($C25="Goal",O$7&gt;=$F25,O$7&lt;=$F25+$G25-1),2,IF(AND($C25="Milestone",O$7&gt;=$F25,O$7&lt;=$F25+$G25-1),1,""))</f>
        <v/>
      </c>
      <c r="P18" s="23" t="str">
        <f ca="1">IF(AND($C25="Goal",P$7&gt;=$F25,P$7&lt;=$F25+$G25-1),2,IF(AND($C25="Milestone",P$7&gt;=$F25,P$7&lt;=$F25+$G25-1),1,""))</f>
        <v/>
      </c>
      <c r="Q18" s="23" t="str">
        <f ca="1">IF(AND($C25="Goal",Q$7&gt;=$F25,Q$7&lt;=$F25+$G25-1),2,IF(AND($C25="Milestone",Q$7&gt;=$F25,Q$7&lt;=$F25+$G25-1),1,""))</f>
        <v/>
      </c>
      <c r="R18" s="23" t="str">
        <f ca="1">IF(AND($C25="Goal",R$7&gt;=$F25,R$7&lt;=$F25+$G25-1),2,IF(AND($C25="Milestone",R$7&gt;=$F25,R$7&lt;=$F25+$G25-1),1,""))</f>
        <v/>
      </c>
      <c r="S18" s="23" t="str">
        <f ca="1">IF(AND($C25="Goal",S$7&gt;=$F25,S$7&lt;=$F25+$G25-1),2,IF(AND($C25="Milestone",S$7&gt;=$F25,S$7&lt;=$F25+$G25-1),1,""))</f>
        <v/>
      </c>
      <c r="T18" s="23" t="str">
        <f ca="1">IF(AND($C25="Goal",T$7&gt;=$F25,T$7&lt;=$F25+$G25-1),2,IF(AND($C25="Milestone",T$7&gt;=$F25,T$7&lt;=$F25+$G25-1),1,""))</f>
        <v/>
      </c>
      <c r="U18" s="23" t="str">
        <f ca="1">IF(AND($C25="Goal",U$7&gt;=$F25,U$7&lt;=$F25+$G25-1),2,IF(AND($C25="Milestone",U$7&gt;=$F25,U$7&lt;=$F25+$G25-1),1,""))</f>
        <v/>
      </c>
      <c r="V18" s="23" t="str">
        <f ca="1">IF(AND($C25="Goal",V$7&gt;=$F25,V$7&lt;=$F25+$G25-1),2,IF(AND($C25="Milestone",V$7&gt;=$F25,V$7&lt;=$F25+$G25-1),1,""))</f>
        <v/>
      </c>
      <c r="W18" s="23" t="str">
        <f ca="1">IF(AND($C25="Goal",W$7&gt;=$F25,W$7&lt;=$F25+$G25-1),2,IF(AND($C25="Milestone",W$7&gt;=$F25,W$7&lt;=$F25+$G25-1),1,""))</f>
        <v/>
      </c>
      <c r="X18" s="23" t="str">
        <f ca="1">IF(AND($C25="Goal",X$7&gt;=$F25,X$7&lt;=$F25+$G25-1),2,IF(AND($C25="Milestone",X$7&gt;=$F25,X$7&lt;=$F25+$G25-1),1,""))</f>
        <v/>
      </c>
      <c r="Y18" s="23" t="str">
        <f ca="1">IF(AND($C25="Goal",Y$7&gt;=$F25,Y$7&lt;=$F25+$G25-1),2,IF(AND($C25="Milestone",Y$7&gt;=$F25,Y$7&lt;=$F25+$G25-1),1,""))</f>
        <v/>
      </c>
      <c r="Z18" s="23" t="str">
        <f ca="1">IF(AND($C25="Goal",Z$7&gt;=$F25,Z$7&lt;=$F25+$G25-1),2,IF(AND($C25="Milestone",Z$7&gt;=$F25,Z$7&lt;=$F25+$G25-1),1,""))</f>
        <v/>
      </c>
      <c r="AA18" s="23" t="str">
        <f ca="1">IF(AND($C25="Goal",AA$7&gt;=$F25,AA$7&lt;=$F25+$G25-1),2,IF(AND($C25="Milestone",AA$7&gt;=$F25,AA$7&lt;=$F25+$G25-1),1,""))</f>
        <v/>
      </c>
      <c r="AB18" s="23" t="str">
        <f ca="1">IF(AND($C25="Goal",AB$7&gt;=$F25,AB$7&lt;=$F25+$G25-1),2,IF(AND($C25="Milestone",AB$7&gt;=$F25,AB$7&lt;=$F25+$G25-1),1,""))</f>
        <v/>
      </c>
      <c r="AC18" s="23" t="str">
        <f ca="1">IF(AND($C25="Goal",AC$7&gt;=$F25,AC$7&lt;=$F25+$G25-1),2,IF(AND($C25="Milestone",AC$7&gt;=$F25,AC$7&lt;=$F25+$G25-1),1,""))</f>
        <v/>
      </c>
      <c r="AD18" s="23" t="str">
        <f ca="1">IF(AND($C25="Goal",AD$7&gt;=$F25,AD$7&lt;=$F25+$G25-1),2,IF(AND($C25="Milestone",AD$7&gt;=$F25,AD$7&lt;=$F25+$G25-1),1,""))</f>
        <v/>
      </c>
      <c r="AE18" s="23" t="str">
        <f ca="1">IF(AND($C25="Goal",AE$7&gt;=$F25,AE$7&lt;=$F25+$G25-1),2,IF(AND($C25="Milestone",AE$7&gt;=$F25,AE$7&lt;=$F25+$G25-1),1,""))</f>
        <v/>
      </c>
      <c r="AF18" s="23" t="str">
        <f ca="1">IF(AND($C25="Goal",AF$7&gt;=$F25,AF$7&lt;=$F25+$G25-1),2,IF(AND($C25="Milestone",AF$7&gt;=$F25,AF$7&lt;=$F25+$G25-1),1,""))</f>
        <v/>
      </c>
      <c r="AG18" s="23" t="str">
        <f ca="1">IF(AND($C25="Goal",AG$7&gt;=$F25,AG$7&lt;=$F25+$G25-1),2,IF(AND($C25="Milestone",AG$7&gt;=$F25,AG$7&lt;=$F25+$G25-1),1,""))</f>
        <v/>
      </c>
      <c r="AH18" s="23" t="str">
        <f ca="1">IF(AND($C25="Goal",AH$7&gt;=$F25,AH$7&lt;=$F25+$G25-1),2,IF(AND($C25="Milestone",AH$7&gt;=$F25,AH$7&lt;=$F25+$G25-1),1,""))</f>
        <v/>
      </c>
      <c r="AI18" s="23" t="str">
        <f ca="1">IF(AND($C25="Goal",AI$7&gt;=$F25,AI$7&lt;=$F25+$G25-1),2,IF(AND($C25="Milestone",AI$7&gt;=$F25,AI$7&lt;=$F25+$G25-1),1,""))</f>
        <v/>
      </c>
      <c r="AJ18" s="23" t="str">
        <f ca="1">IF(AND($C25="Goal",AJ$7&gt;=$F25,AJ$7&lt;=$F25+$G25-1),2,IF(AND($C25="Milestone",AJ$7&gt;=$F25,AJ$7&lt;=$F25+$G25-1),1,""))</f>
        <v/>
      </c>
      <c r="AK18" s="23" t="str">
        <f ca="1">IF(AND($C25="Goal",AK$7&gt;=$F25,AK$7&lt;=$F25+$G25-1),2,IF(AND($C25="Milestone",AK$7&gt;=$F25,AK$7&lt;=$F25+$G25-1),1,""))</f>
        <v/>
      </c>
      <c r="AL18" s="23" t="str">
        <f ca="1">IF(AND($C25="Goal",AL$7&gt;=$F25,AL$7&lt;=$F25+$G25-1),2,IF(AND($C25="Milestone",AL$7&gt;=$F25,AL$7&lt;=$F25+$G25-1),1,""))</f>
        <v/>
      </c>
      <c r="AM18" s="23" t="str">
        <f ca="1">IF(AND($C25="Goal",AM$7&gt;=$F25,AM$7&lt;=$F25+$G25-1),2,IF(AND($C25="Milestone",AM$7&gt;=$F25,AM$7&lt;=$F25+$G25-1),1,""))</f>
        <v/>
      </c>
      <c r="AN18" s="23" t="str">
        <f ca="1">IF(AND($C25="Goal",AN$7&gt;=$F25,AN$7&lt;=$F25+$G25-1),2,IF(AND($C25="Milestone",AN$7&gt;=$F25,AN$7&lt;=$F25+$G25-1),1,""))</f>
        <v/>
      </c>
      <c r="AO18" s="23" t="str">
        <f ca="1">IF(AND($C25="Goal",AO$7&gt;=$F25,AO$7&lt;=$F25+$G25-1),2,IF(AND($C25="Milestone",AO$7&gt;=$F25,AO$7&lt;=$F25+$G25-1),1,""))</f>
        <v/>
      </c>
      <c r="AP18" s="23" t="str">
        <f ca="1">IF(AND($C25="Goal",AP$7&gt;=$F25,AP$7&lt;=$F25+$G25-1),2,IF(AND($C25="Milestone",AP$7&gt;=$F25,AP$7&lt;=$F25+$G25-1),1,""))</f>
        <v/>
      </c>
      <c r="AQ18" s="23" t="str">
        <f ca="1">IF(AND($C25="Goal",AQ$7&gt;=$F25,AQ$7&lt;=$F25+$G25-1),2,IF(AND($C25="Milestone",AQ$7&gt;=$F25,AQ$7&lt;=$F25+$G25-1),1,""))</f>
        <v/>
      </c>
      <c r="AR18" s="23" t="str">
        <f ca="1">IF(AND($C25="Goal",AR$7&gt;=$F25,AR$7&lt;=$F25+$G25-1),2,IF(AND($C25="Milestone",AR$7&gt;=$F25,AR$7&lt;=$F25+$G25-1),1,""))</f>
        <v/>
      </c>
      <c r="AS18" s="23" t="str">
        <f ca="1">IF(AND($C25="Goal",AS$7&gt;=$F25,AS$7&lt;=$F25+$G25-1),2,IF(AND($C25="Milestone",AS$7&gt;=$F25,AS$7&lt;=$F25+$G25-1),1,""))</f>
        <v/>
      </c>
      <c r="AT18" s="23" t="str">
        <f ca="1">IF(AND($C25="Goal",AT$7&gt;=$F25,AT$7&lt;=$F25+$G25-1),2,IF(AND($C25="Milestone",AT$7&gt;=$F25,AT$7&lt;=$F25+$G25-1),1,""))</f>
        <v/>
      </c>
      <c r="AU18" s="23" t="str">
        <f ca="1">IF(AND($C25="Goal",AU$7&gt;=$F25,AU$7&lt;=$F25+$G25-1),2,IF(AND($C25="Milestone",AU$7&gt;=$F25,AU$7&lt;=$F25+$G25-1),1,""))</f>
        <v/>
      </c>
      <c r="AV18" s="23" t="str">
        <f ca="1">IF(AND($C25="Goal",AV$7&gt;=$F25,AV$7&lt;=$F25+$G25-1),2,IF(AND($C25="Milestone",AV$7&gt;=$F25,AV$7&lt;=$F25+$G25-1),1,""))</f>
        <v/>
      </c>
      <c r="AW18" s="23" t="str">
        <f ca="1">IF(AND($C25="Goal",AW$7&gt;=$F25,AW$7&lt;=$F25+$G25-1),2,IF(AND($C25="Milestone",AW$7&gt;=$F25,AW$7&lt;=$F25+$G25-1),1,""))</f>
        <v/>
      </c>
      <c r="AX18" s="23" t="str">
        <f ca="1">IF(AND($C25="Goal",AX$7&gt;=$F25,AX$7&lt;=$F25+$G25-1),2,IF(AND($C25="Milestone",AX$7&gt;=$F25,AX$7&lt;=$F25+$G25-1),1,""))</f>
        <v/>
      </c>
      <c r="AY18" s="23" t="str">
        <f ca="1">IF(AND($C25="Goal",AY$7&gt;=$F25,AY$7&lt;=$F25+$G25-1),2,IF(AND($C25="Milestone",AY$7&gt;=$F25,AY$7&lt;=$F25+$G25-1),1,""))</f>
        <v/>
      </c>
      <c r="AZ18" s="23" t="str">
        <f ca="1">IF(AND($C25="Goal",AZ$7&gt;=$F25,AZ$7&lt;=$F25+$G25-1),2,IF(AND($C25="Milestone",AZ$7&gt;=$F25,AZ$7&lt;=$F25+$G25-1),1,""))</f>
        <v/>
      </c>
      <c r="BA18" s="23" t="str">
        <f ca="1">IF(AND($C25="Goal",BA$7&gt;=$F25,BA$7&lt;=$F25+$G25-1),2,IF(AND($C25="Milestone",BA$7&gt;=$F25,BA$7&lt;=$F25+$G25-1),1,""))</f>
        <v/>
      </c>
      <c r="BB18" s="23" t="str">
        <f ca="1">IF(AND($C25="Goal",BB$7&gt;=$F25,BB$7&lt;=$F25+$G25-1),2,IF(AND($C25="Milestone",BB$7&gt;=$F25,BB$7&lt;=$F25+$G25-1),1,""))</f>
        <v/>
      </c>
      <c r="BC18" s="23" t="str">
        <f ca="1">IF(AND($C25="Goal",BC$7&gt;=$F25,BC$7&lt;=$F25+$G25-1),2,IF(AND($C25="Milestone",BC$7&gt;=$F25,BC$7&lt;=$F25+$G25-1),1,""))</f>
        <v/>
      </c>
      <c r="BD18" s="23" t="str">
        <f ca="1">IF(AND($C25="Goal",BD$7&gt;=$F25,BD$7&lt;=$F25+$G25-1),2,IF(AND($C25="Milestone",BD$7&gt;=$F25,BD$7&lt;=$F25+$G25-1),1,""))</f>
        <v/>
      </c>
      <c r="BE18" s="23" t="str">
        <f ca="1">IF(AND($C25="Goal",BE$7&gt;=$F25,BE$7&lt;=$F25+$G25-1),2,IF(AND($C25="Milestone",BE$7&gt;=$F25,BE$7&lt;=$F25+$G25-1),1,""))</f>
        <v/>
      </c>
      <c r="BF18" s="23" t="str">
        <f ca="1">IF(AND($C25="Goal",BF$7&gt;=$F25,BF$7&lt;=$F25+$G25-1),2,IF(AND($C25="Milestone",BF$7&gt;=$F25,BF$7&lt;=$F25+$G25-1),1,""))</f>
        <v/>
      </c>
      <c r="BG18" s="23" t="str">
        <f ca="1">IF(AND($C25="Goal",BG$7&gt;=$F25,BG$7&lt;=$F25+$G25-1),2,IF(AND($C25="Milestone",BG$7&gt;=$F25,BG$7&lt;=$F25+$G25-1),1,""))</f>
        <v/>
      </c>
      <c r="BH18" s="23" t="str">
        <f ca="1">IF(AND($C25="Goal",BH$7&gt;=$F25,BH$7&lt;=$F25+$G25-1),2,IF(AND($C25="Milestone",BH$7&gt;=$F25,BH$7&lt;=$F25+$G25-1),1,""))</f>
        <v/>
      </c>
      <c r="BI18" s="23" t="str">
        <f ca="1">IF(AND($C25="Goal",BI$7&gt;=$F25,BI$7&lt;=$F25+$G25-1),2,IF(AND($C25="Milestone",BI$7&gt;=$F25,BI$7&lt;=$F25+$G25-1),1,""))</f>
        <v/>
      </c>
      <c r="BJ18" s="23" t="str">
        <f ca="1">IF(AND($C25="Goal",BJ$7&gt;=$F25,BJ$7&lt;=$F25+$G25-1),2,IF(AND($C25="Milestone",BJ$7&gt;=$F25,BJ$7&lt;=$F25+$G25-1),1,""))</f>
        <v/>
      </c>
      <c r="BK18" s="23" t="str">
        <f ca="1">IF(AND($C25="Goal",BK$7&gt;=$F25,BK$7&lt;=$F25+$G25-1),2,IF(AND($C25="Milestone",BK$7&gt;=$F25,BK$7&lt;=$F25+$G25-1),1,""))</f>
        <v/>
      </c>
      <c r="BL18" s="23" t="str">
        <f ca="1">IF(AND($C25="Goal",BL$7&gt;=$F25,BL$7&lt;=$F25+$G25-1),2,IF(AND($C25="Milestone",BL$7&gt;=$F25,BL$7&lt;=$F25+$G25-1),1,""))</f>
        <v/>
      </c>
      <c r="BM18" s="24"/>
    </row>
    <row r="19" spans="1:65" s="1" customFormat="1" ht="40.15" customHeight="1" x14ac:dyDescent="0.25">
      <c r="A19" s="9"/>
      <c r="B19" s="137" t="s">
        <v>46</v>
      </c>
      <c r="C19" s="21" t="s">
        <v>13</v>
      </c>
      <c r="D19" s="21" t="s">
        <v>48</v>
      </c>
      <c r="E19" s="138">
        <v>1</v>
      </c>
      <c r="F19" s="139">
        <v>46085</v>
      </c>
      <c r="G19" s="140">
        <v>6</v>
      </c>
      <c r="H19" s="19"/>
      <c r="I19" s="43" t="str">
        <f ca="1">IF(AND($C26="Goal",I$7&gt;=$F26,I$7&lt;=$F26+$G26-1),2,IF(AND($C26="Milestone",I$7&gt;=$F26,I$7&lt;=$F26+$G26-1),1,""))</f>
        <v/>
      </c>
      <c r="J19" s="23" t="str">
        <f ca="1">IF(AND($C26="Goal",J$7&gt;=$F26,J$7&lt;=$F26+$G26-1),2,IF(AND($C26="Milestone",J$7&gt;=$F26,J$7&lt;=$F26+$G26-1),1,""))</f>
        <v/>
      </c>
      <c r="K19" s="23" t="str">
        <f ca="1">IF(AND($C26="Goal",K$7&gt;=$F26,K$7&lt;=$F26+$G26-1),2,IF(AND($C26="Milestone",K$7&gt;=$F26,K$7&lt;=$F26+$G26-1),1,""))</f>
        <v/>
      </c>
      <c r="L19" s="23" t="str">
        <f ca="1">IF(AND($C26="Goal",L$7&gt;=$F26,L$7&lt;=$F26+$G26-1),2,IF(AND($C26="Milestone",L$7&gt;=$F26,L$7&lt;=$F26+$G26-1),1,""))</f>
        <v/>
      </c>
      <c r="M19" s="23" t="str">
        <f ca="1">IF(AND($C26="Goal",M$7&gt;=$F26,M$7&lt;=$F26+$G26-1),2,IF(AND($C26="Milestone",M$7&gt;=$F26,M$7&lt;=$F26+$G26-1),1,""))</f>
        <v/>
      </c>
      <c r="N19" s="23" t="str">
        <f ca="1">IF(AND($C26="Goal",N$7&gt;=$F26,N$7&lt;=$F26+$G26-1),2,IF(AND($C26="Milestone",N$7&gt;=$F26,N$7&lt;=$F26+$G26-1),1,""))</f>
        <v/>
      </c>
      <c r="O19" s="23" t="str">
        <f ca="1">IF(AND($C26="Goal",O$7&gt;=$F26,O$7&lt;=$F26+$G26-1),2,IF(AND($C26="Milestone",O$7&gt;=$F26,O$7&lt;=$F26+$G26-1),1,""))</f>
        <v/>
      </c>
      <c r="P19" s="23" t="str">
        <f ca="1">IF(AND($C26="Goal",P$7&gt;=$F26,P$7&lt;=$F26+$G26-1),2,IF(AND($C26="Milestone",P$7&gt;=$F26,P$7&lt;=$F26+$G26-1),1,""))</f>
        <v/>
      </c>
      <c r="Q19" s="23" t="str">
        <f ca="1">IF(AND($C26="Goal",Q$7&gt;=$F26,Q$7&lt;=$F26+$G26-1),2,IF(AND($C26="Milestone",Q$7&gt;=$F26,Q$7&lt;=$F26+$G26-1),1,""))</f>
        <v/>
      </c>
      <c r="R19" s="23" t="str">
        <f ca="1">IF(AND($C26="Goal",R$7&gt;=$F26,R$7&lt;=$F26+$G26-1),2,IF(AND($C26="Milestone",R$7&gt;=$F26,R$7&lt;=$F26+$G26-1),1,""))</f>
        <v/>
      </c>
      <c r="S19" s="23" t="str">
        <f ca="1">IF(AND($C26="Goal",S$7&gt;=$F26,S$7&lt;=$F26+$G26-1),2,IF(AND($C26="Milestone",S$7&gt;=$F26,S$7&lt;=$F26+$G26-1),1,""))</f>
        <v/>
      </c>
      <c r="T19" s="23" t="str">
        <f ca="1">IF(AND($C26="Goal",T$7&gt;=$F26,T$7&lt;=$F26+$G26-1),2,IF(AND($C26="Milestone",T$7&gt;=$F26,T$7&lt;=$F26+$G26-1),1,""))</f>
        <v/>
      </c>
      <c r="U19" s="23" t="str">
        <f ca="1">IF(AND($C26="Goal",U$7&gt;=$F26,U$7&lt;=$F26+$G26-1),2,IF(AND($C26="Milestone",U$7&gt;=$F26,U$7&lt;=$F26+$G26-1),1,""))</f>
        <v/>
      </c>
      <c r="V19" s="23" t="str">
        <f ca="1">IF(AND($C26="Goal",V$7&gt;=$F26,V$7&lt;=$F26+$G26-1),2,IF(AND($C26="Milestone",V$7&gt;=$F26,V$7&lt;=$F26+$G26-1),1,""))</f>
        <v/>
      </c>
      <c r="W19" s="23" t="str">
        <f ca="1">IF(AND($C26="Goal",W$7&gt;=$F26,W$7&lt;=$F26+$G26-1),2,IF(AND($C26="Milestone",W$7&gt;=$F26,W$7&lt;=$F26+$G26-1),1,""))</f>
        <v/>
      </c>
      <c r="X19" s="23" t="str">
        <f ca="1">IF(AND($C26="Goal",X$7&gt;=$F26,X$7&lt;=$F26+$G26-1),2,IF(AND($C26="Milestone",X$7&gt;=$F26,X$7&lt;=$F26+$G26-1),1,""))</f>
        <v/>
      </c>
      <c r="Y19" s="23" t="str">
        <f ca="1">IF(AND($C26="Goal",Y$7&gt;=$F26,Y$7&lt;=$F26+$G26-1),2,IF(AND($C26="Milestone",Y$7&gt;=$F26,Y$7&lt;=$F26+$G26-1),1,""))</f>
        <v/>
      </c>
      <c r="Z19" s="23" t="str">
        <f ca="1">IF(AND($C26="Goal",Z$7&gt;=$F26,Z$7&lt;=$F26+$G26-1),2,IF(AND($C26="Milestone",Z$7&gt;=$F26,Z$7&lt;=$F26+$G26-1),1,""))</f>
        <v/>
      </c>
      <c r="AA19" s="23" t="str">
        <f ca="1">IF(AND($C26="Goal",AA$7&gt;=$F26,AA$7&lt;=$F26+$G26-1),2,IF(AND($C26="Milestone",AA$7&gt;=$F26,AA$7&lt;=$F26+$G26-1),1,""))</f>
        <v/>
      </c>
      <c r="AB19" s="23" t="str">
        <f ca="1">IF(AND($C26="Goal",AB$7&gt;=$F26,AB$7&lt;=$F26+$G26-1),2,IF(AND($C26="Milestone",AB$7&gt;=$F26,AB$7&lt;=$F26+$G26-1),1,""))</f>
        <v/>
      </c>
      <c r="AC19" s="23" t="str">
        <f ca="1">IF(AND($C26="Goal",AC$7&gt;=$F26,AC$7&lt;=$F26+$G26-1),2,IF(AND($C26="Milestone",AC$7&gt;=$F26,AC$7&lt;=$F26+$G26-1),1,""))</f>
        <v/>
      </c>
      <c r="AD19" s="23" t="str">
        <f ca="1">IF(AND($C26="Goal",AD$7&gt;=$F26,AD$7&lt;=$F26+$G26-1),2,IF(AND($C26="Milestone",AD$7&gt;=$F26,AD$7&lt;=$F26+$G26-1),1,""))</f>
        <v/>
      </c>
      <c r="AE19" s="23" t="str">
        <f ca="1">IF(AND($C26="Goal",AE$7&gt;=$F26,AE$7&lt;=$F26+$G26-1),2,IF(AND($C26="Milestone",AE$7&gt;=$F26,AE$7&lt;=$F26+$G26-1),1,""))</f>
        <v/>
      </c>
      <c r="AF19" s="23" t="str">
        <f ca="1">IF(AND($C26="Goal",AF$7&gt;=$F26,AF$7&lt;=$F26+$G26-1),2,IF(AND($C26="Milestone",AF$7&gt;=$F26,AF$7&lt;=$F26+$G26-1),1,""))</f>
        <v/>
      </c>
      <c r="AG19" s="23" t="str">
        <f ca="1">IF(AND($C26="Goal",AG$7&gt;=$F26,AG$7&lt;=$F26+$G26-1),2,IF(AND($C26="Milestone",AG$7&gt;=$F26,AG$7&lt;=$F26+$G26-1),1,""))</f>
        <v/>
      </c>
      <c r="AH19" s="23" t="str">
        <f ca="1">IF(AND($C26="Goal",AH$7&gt;=$F26,AH$7&lt;=$F26+$G26-1),2,IF(AND($C26="Milestone",AH$7&gt;=$F26,AH$7&lt;=$F26+$G26-1),1,""))</f>
        <v/>
      </c>
      <c r="AI19" s="23" t="str">
        <f ca="1">IF(AND($C26="Goal",AI$7&gt;=$F26,AI$7&lt;=$F26+$G26-1),2,IF(AND($C26="Milestone",AI$7&gt;=$F26,AI$7&lt;=$F26+$G26-1),1,""))</f>
        <v/>
      </c>
      <c r="AJ19" s="23" t="str">
        <f ca="1">IF(AND($C26="Goal",AJ$7&gt;=$F26,AJ$7&lt;=$F26+$G26-1),2,IF(AND($C26="Milestone",AJ$7&gt;=$F26,AJ$7&lt;=$F26+$G26-1),1,""))</f>
        <v/>
      </c>
      <c r="AK19" s="23" t="str">
        <f ca="1">IF(AND($C26="Goal",AK$7&gt;=$F26,AK$7&lt;=$F26+$G26-1),2,IF(AND($C26="Milestone",AK$7&gt;=$F26,AK$7&lt;=$F26+$G26-1),1,""))</f>
        <v/>
      </c>
      <c r="AL19" s="23" t="str">
        <f ca="1">IF(AND($C26="Goal",AL$7&gt;=$F26,AL$7&lt;=$F26+$G26-1),2,IF(AND($C26="Milestone",AL$7&gt;=$F26,AL$7&lt;=$F26+$G26-1),1,""))</f>
        <v/>
      </c>
      <c r="AM19" s="23" t="str">
        <f ca="1">IF(AND($C26="Goal",AM$7&gt;=$F26,AM$7&lt;=$F26+$G26-1),2,IF(AND($C26="Milestone",AM$7&gt;=$F26,AM$7&lt;=$F26+$G26-1),1,""))</f>
        <v/>
      </c>
      <c r="AN19" s="23" t="str">
        <f ca="1">IF(AND($C26="Goal",AN$7&gt;=$F26,AN$7&lt;=$F26+$G26-1),2,IF(AND($C26="Milestone",AN$7&gt;=$F26,AN$7&lt;=$F26+$G26-1),1,""))</f>
        <v/>
      </c>
      <c r="AO19" s="23" t="str">
        <f ca="1">IF(AND($C26="Goal",AO$7&gt;=$F26,AO$7&lt;=$F26+$G26-1),2,IF(AND($C26="Milestone",AO$7&gt;=$F26,AO$7&lt;=$F26+$G26-1),1,""))</f>
        <v/>
      </c>
      <c r="AP19" s="23" t="str">
        <f ca="1">IF(AND($C26="Goal",AP$7&gt;=$F26,AP$7&lt;=$F26+$G26-1),2,IF(AND($C26="Milestone",AP$7&gt;=$F26,AP$7&lt;=$F26+$G26-1),1,""))</f>
        <v/>
      </c>
      <c r="AQ19" s="23" t="str">
        <f ca="1">IF(AND($C26="Goal",AQ$7&gt;=$F26,AQ$7&lt;=$F26+$G26-1),2,IF(AND($C26="Milestone",AQ$7&gt;=$F26,AQ$7&lt;=$F26+$G26-1),1,""))</f>
        <v/>
      </c>
      <c r="AR19" s="23" t="str">
        <f ca="1">IF(AND($C26="Goal",AR$7&gt;=$F26,AR$7&lt;=$F26+$G26-1),2,IF(AND($C26="Milestone",AR$7&gt;=$F26,AR$7&lt;=$F26+$G26-1),1,""))</f>
        <v/>
      </c>
      <c r="AS19" s="23" t="str">
        <f ca="1">IF(AND($C26="Goal",AS$7&gt;=$F26,AS$7&lt;=$F26+$G26-1),2,IF(AND($C26="Milestone",AS$7&gt;=$F26,AS$7&lt;=$F26+$G26-1),1,""))</f>
        <v/>
      </c>
      <c r="AT19" s="23" t="str">
        <f ca="1">IF(AND($C26="Goal",AT$7&gt;=$F26,AT$7&lt;=$F26+$G26-1),2,IF(AND($C26="Milestone",AT$7&gt;=$F26,AT$7&lt;=$F26+$G26-1),1,""))</f>
        <v/>
      </c>
      <c r="AU19" s="23" t="str">
        <f ca="1">IF(AND($C26="Goal",AU$7&gt;=$F26,AU$7&lt;=$F26+$G26-1),2,IF(AND($C26="Milestone",AU$7&gt;=$F26,AU$7&lt;=$F26+$G26-1),1,""))</f>
        <v/>
      </c>
      <c r="AV19" s="23" t="str">
        <f ca="1">IF(AND($C26="Goal",AV$7&gt;=$F26,AV$7&lt;=$F26+$G26-1),2,IF(AND($C26="Milestone",AV$7&gt;=$F26,AV$7&lt;=$F26+$G26-1),1,""))</f>
        <v/>
      </c>
      <c r="AW19" s="23" t="str">
        <f ca="1">IF(AND($C26="Goal",AW$7&gt;=$F26,AW$7&lt;=$F26+$G26-1),2,IF(AND($C26="Milestone",AW$7&gt;=$F26,AW$7&lt;=$F26+$G26-1),1,""))</f>
        <v/>
      </c>
      <c r="AX19" s="23" t="str">
        <f ca="1">IF(AND($C26="Goal",AX$7&gt;=$F26,AX$7&lt;=$F26+$G26-1),2,IF(AND($C26="Milestone",AX$7&gt;=$F26,AX$7&lt;=$F26+$G26-1),1,""))</f>
        <v/>
      </c>
      <c r="AY19" s="23" t="str">
        <f ca="1">IF(AND($C26="Goal",AY$7&gt;=$F26,AY$7&lt;=$F26+$G26-1),2,IF(AND($C26="Milestone",AY$7&gt;=$F26,AY$7&lt;=$F26+$G26-1),1,""))</f>
        <v/>
      </c>
      <c r="AZ19" s="23" t="str">
        <f ca="1">IF(AND($C26="Goal",AZ$7&gt;=$F26,AZ$7&lt;=$F26+$G26-1),2,IF(AND($C26="Milestone",AZ$7&gt;=$F26,AZ$7&lt;=$F26+$G26-1),1,""))</f>
        <v/>
      </c>
      <c r="BA19" s="23" t="str">
        <f ca="1">IF(AND($C26="Goal",BA$7&gt;=$F26,BA$7&lt;=$F26+$G26-1),2,IF(AND($C26="Milestone",BA$7&gt;=$F26,BA$7&lt;=$F26+$G26-1),1,""))</f>
        <v/>
      </c>
      <c r="BB19" s="23" t="str">
        <f ca="1">IF(AND($C26="Goal",BB$7&gt;=$F26,BB$7&lt;=$F26+$G26-1),2,IF(AND($C26="Milestone",BB$7&gt;=$F26,BB$7&lt;=$F26+$G26-1),1,""))</f>
        <v/>
      </c>
      <c r="BC19" s="23" t="str">
        <f ca="1">IF(AND($C26="Goal",BC$7&gt;=$F26,BC$7&lt;=$F26+$G26-1),2,IF(AND($C26="Milestone",BC$7&gt;=$F26,BC$7&lt;=$F26+$G26-1),1,""))</f>
        <v/>
      </c>
      <c r="BD19" s="23" t="str">
        <f ca="1">IF(AND($C26="Goal",BD$7&gt;=$F26,BD$7&lt;=$F26+$G26-1),2,IF(AND($C26="Milestone",BD$7&gt;=$F26,BD$7&lt;=$F26+$G26-1),1,""))</f>
        <v/>
      </c>
      <c r="BE19" s="23" t="str">
        <f ca="1">IF(AND($C26="Goal",BE$7&gt;=$F26,BE$7&lt;=$F26+$G26-1),2,IF(AND($C26="Milestone",BE$7&gt;=$F26,BE$7&lt;=$F26+$G26-1),1,""))</f>
        <v/>
      </c>
      <c r="BF19" s="23" t="str">
        <f ca="1">IF(AND($C26="Goal",BF$7&gt;=$F26,BF$7&lt;=$F26+$G26-1),2,IF(AND($C26="Milestone",BF$7&gt;=$F26,BF$7&lt;=$F26+$G26-1),1,""))</f>
        <v/>
      </c>
      <c r="BG19" s="23" t="str">
        <f ca="1">IF(AND($C26="Goal",BG$7&gt;=$F26,BG$7&lt;=$F26+$G26-1),2,IF(AND($C26="Milestone",BG$7&gt;=$F26,BG$7&lt;=$F26+$G26-1),1,""))</f>
        <v/>
      </c>
      <c r="BH19" s="23" t="str">
        <f ca="1">IF(AND($C26="Goal",BH$7&gt;=$F26,BH$7&lt;=$F26+$G26-1),2,IF(AND($C26="Milestone",BH$7&gt;=$F26,BH$7&lt;=$F26+$G26-1),1,""))</f>
        <v/>
      </c>
      <c r="BI19" s="23" t="str">
        <f ca="1">IF(AND($C26="Goal",BI$7&gt;=$F26,BI$7&lt;=$F26+$G26-1),2,IF(AND($C26="Milestone",BI$7&gt;=$F26,BI$7&lt;=$F26+$G26-1),1,""))</f>
        <v/>
      </c>
      <c r="BJ19" s="23" t="str">
        <f ca="1">IF(AND($C26="Goal",BJ$7&gt;=$F26,BJ$7&lt;=$F26+$G26-1),2,IF(AND($C26="Milestone",BJ$7&gt;=$F26,BJ$7&lt;=$F26+$G26-1),1,""))</f>
        <v/>
      </c>
      <c r="BK19" s="23" t="str">
        <f ca="1">IF(AND($C26="Goal",BK$7&gt;=$F26,BK$7&lt;=$F26+$G26-1),2,IF(AND($C26="Milestone",BK$7&gt;=$F26,BK$7&lt;=$F26+$G26-1),1,""))</f>
        <v/>
      </c>
      <c r="BL19" s="23" t="str">
        <f ca="1">IF(AND($C26="Goal",BL$7&gt;=$F26,BL$7&lt;=$F26+$G26-1),2,IF(AND($C26="Milestone",BL$7&gt;=$F26,BL$7&lt;=$F26+$G26-1),1,""))</f>
        <v/>
      </c>
      <c r="BM19" s="24"/>
    </row>
    <row r="20" spans="1:65" s="1" customFormat="1" ht="40.15" customHeight="1" x14ac:dyDescent="0.25">
      <c r="A20" s="9"/>
      <c r="B20" s="137" t="s">
        <v>43</v>
      </c>
      <c r="C20" s="21" t="s">
        <v>13</v>
      </c>
      <c r="D20" s="21" t="s">
        <v>49</v>
      </c>
      <c r="E20" s="138">
        <v>1</v>
      </c>
      <c r="F20" s="139">
        <v>46091</v>
      </c>
      <c r="G20" s="140">
        <v>10</v>
      </c>
      <c r="H20" s="19"/>
      <c r="I20" s="43" t="str">
        <f ca="1">IF(AND($C27="Goal",I$7&gt;=$F27,I$7&lt;=$F27+$G27-1),2,IF(AND($C27="Milestone",I$7&gt;=$F27,I$7&lt;=$F27+$G27-1),1,""))</f>
        <v/>
      </c>
      <c r="J20" s="23" t="str">
        <f ca="1">IF(AND($C27="Goal",J$7&gt;=$F27,J$7&lt;=$F27+$G27-1),2,IF(AND($C27="Milestone",J$7&gt;=$F27,J$7&lt;=$F27+$G27-1),1,""))</f>
        <v/>
      </c>
      <c r="K20" s="23" t="str">
        <f ca="1">IF(AND($C27="Goal",K$7&gt;=$F27,K$7&lt;=$F27+$G27-1),2,IF(AND($C27="Milestone",K$7&gt;=$F27,K$7&lt;=$F27+$G27-1),1,""))</f>
        <v/>
      </c>
      <c r="L20" s="23" t="str">
        <f ca="1">IF(AND($C27="Goal",L$7&gt;=$F27,L$7&lt;=$F27+$G27-1),2,IF(AND($C27="Milestone",L$7&gt;=$F27,L$7&lt;=$F27+$G27-1),1,""))</f>
        <v/>
      </c>
      <c r="M20" s="23" t="str">
        <f ca="1">IF(AND($C27="Goal",M$7&gt;=$F27,M$7&lt;=$F27+$G27-1),2,IF(AND($C27="Milestone",M$7&gt;=$F27,M$7&lt;=$F27+$G27-1),1,""))</f>
        <v/>
      </c>
      <c r="N20" s="23" t="str">
        <f ca="1">IF(AND($C27="Goal",N$7&gt;=$F27,N$7&lt;=$F27+$G27-1),2,IF(AND($C27="Milestone",N$7&gt;=$F27,N$7&lt;=$F27+$G27-1),1,""))</f>
        <v/>
      </c>
      <c r="O20" s="23" t="str">
        <f ca="1">IF(AND($C27="Goal",O$7&gt;=$F27,O$7&lt;=$F27+$G27-1),2,IF(AND($C27="Milestone",O$7&gt;=$F27,O$7&lt;=$F27+$G27-1),1,""))</f>
        <v/>
      </c>
      <c r="P20" s="23" t="str">
        <f ca="1">IF(AND($C27="Goal",P$7&gt;=$F27,P$7&lt;=$F27+$G27-1),2,IF(AND($C27="Milestone",P$7&gt;=$F27,P$7&lt;=$F27+$G27-1),1,""))</f>
        <v/>
      </c>
      <c r="Q20" s="23" t="str">
        <f ca="1">IF(AND($C27="Goal",Q$7&gt;=$F27,Q$7&lt;=$F27+$G27-1),2,IF(AND($C27="Milestone",Q$7&gt;=$F27,Q$7&lt;=$F27+$G27-1),1,""))</f>
        <v/>
      </c>
      <c r="R20" s="23" t="str">
        <f ca="1">IF(AND($C27="Goal",R$7&gt;=$F27,R$7&lt;=$F27+$G27-1),2,IF(AND($C27="Milestone",R$7&gt;=$F27,R$7&lt;=$F27+$G27-1),1,""))</f>
        <v/>
      </c>
      <c r="S20" s="23" t="str">
        <f ca="1">IF(AND($C27="Goal",S$7&gt;=$F27,S$7&lt;=$F27+$G27-1),2,IF(AND($C27="Milestone",S$7&gt;=$F27,S$7&lt;=$F27+$G27-1),1,""))</f>
        <v/>
      </c>
      <c r="T20" s="23" t="str">
        <f ca="1">IF(AND($C27="Goal",T$7&gt;=$F27,T$7&lt;=$F27+$G27-1),2,IF(AND($C27="Milestone",T$7&gt;=$F27,T$7&lt;=$F27+$G27-1),1,""))</f>
        <v/>
      </c>
      <c r="U20" s="23" t="str">
        <f ca="1">IF(AND($C27="Goal",U$7&gt;=$F27,U$7&lt;=$F27+$G27-1),2,IF(AND($C27="Milestone",U$7&gt;=$F27,U$7&lt;=$F27+$G27-1),1,""))</f>
        <v/>
      </c>
      <c r="V20" s="23" t="str">
        <f ca="1">IF(AND($C27="Goal",V$7&gt;=$F27,V$7&lt;=$F27+$G27-1),2,IF(AND($C27="Milestone",V$7&gt;=$F27,V$7&lt;=$F27+$G27-1),1,""))</f>
        <v/>
      </c>
      <c r="W20" s="23" t="str">
        <f ca="1">IF(AND($C27="Goal",W$7&gt;=$F27,W$7&lt;=$F27+$G27-1),2,IF(AND($C27="Milestone",W$7&gt;=$F27,W$7&lt;=$F27+$G27-1),1,""))</f>
        <v/>
      </c>
      <c r="X20" s="23" t="str">
        <f ca="1">IF(AND($C27="Goal",X$7&gt;=$F27,X$7&lt;=$F27+$G27-1),2,IF(AND($C27="Milestone",X$7&gt;=$F27,X$7&lt;=$F27+$G27-1),1,""))</f>
        <v/>
      </c>
      <c r="Y20" s="23" t="str">
        <f ca="1">IF(AND($C27="Goal",Y$7&gt;=$F27,Y$7&lt;=$F27+$G27-1),2,IF(AND($C27="Milestone",Y$7&gt;=$F27,Y$7&lt;=$F27+$G27-1),1,""))</f>
        <v/>
      </c>
      <c r="Z20" s="23" t="str">
        <f ca="1">IF(AND($C27="Goal",Z$7&gt;=$F27,Z$7&lt;=$F27+$G27-1),2,IF(AND($C27="Milestone",Z$7&gt;=$F27,Z$7&lt;=$F27+$G27-1),1,""))</f>
        <v/>
      </c>
      <c r="AA20" s="23" t="str">
        <f ca="1">IF(AND($C27="Goal",AA$7&gt;=$F27,AA$7&lt;=$F27+$G27-1),2,IF(AND($C27="Milestone",AA$7&gt;=$F27,AA$7&lt;=$F27+$G27-1),1,""))</f>
        <v/>
      </c>
      <c r="AB20" s="23" t="str">
        <f ca="1">IF(AND($C27="Goal",AB$7&gt;=$F27,AB$7&lt;=$F27+$G27-1),2,IF(AND($C27="Milestone",AB$7&gt;=$F27,AB$7&lt;=$F27+$G27-1),1,""))</f>
        <v/>
      </c>
      <c r="AC20" s="23" t="str">
        <f ca="1">IF(AND($C27="Goal",AC$7&gt;=$F27,AC$7&lt;=$F27+$G27-1),2,IF(AND($C27="Milestone",AC$7&gt;=$F27,AC$7&lt;=$F27+$G27-1),1,""))</f>
        <v/>
      </c>
      <c r="AD20" s="23" t="str">
        <f ca="1">IF(AND($C27="Goal",AD$7&gt;=$F27,AD$7&lt;=$F27+$G27-1),2,IF(AND($C27="Milestone",AD$7&gt;=$F27,AD$7&lt;=$F27+$G27-1),1,""))</f>
        <v/>
      </c>
      <c r="AE20" s="23" t="str">
        <f ca="1">IF(AND($C27="Goal",AE$7&gt;=$F27,AE$7&lt;=$F27+$G27-1),2,IF(AND($C27="Milestone",AE$7&gt;=$F27,AE$7&lt;=$F27+$G27-1),1,""))</f>
        <v/>
      </c>
      <c r="AF20" s="23" t="str">
        <f ca="1">IF(AND($C27="Goal",AF$7&gt;=$F27,AF$7&lt;=$F27+$G27-1),2,IF(AND($C27="Milestone",AF$7&gt;=$F27,AF$7&lt;=$F27+$G27-1),1,""))</f>
        <v/>
      </c>
      <c r="AG20" s="23" t="str">
        <f ca="1">IF(AND($C27="Goal",AG$7&gt;=$F27,AG$7&lt;=$F27+$G27-1),2,IF(AND($C27="Milestone",AG$7&gt;=$F27,AG$7&lt;=$F27+$G27-1),1,""))</f>
        <v/>
      </c>
      <c r="AH20" s="23" t="str">
        <f ca="1">IF(AND($C27="Goal",AH$7&gt;=$F27,AH$7&lt;=$F27+$G27-1),2,IF(AND($C27="Milestone",AH$7&gt;=$F27,AH$7&lt;=$F27+$G27-1),1,""))</f>
        <v/>
      </c>
      <c r="AI20" s="23" t="str">
        <f ca="1">IF(AND($C27="Goal",AI$7&gt;=$F27,AI$7&lt;=$F27+$G27-1),2,IF(AND($C27="Milestone",AI$7&gt;=$F27,AI$7&lt;=$F27+$G27-1),1,""))</f>
        <v/>
      </c>
      <c r="AJ20" s="23" t="str">
        <f ca="1">IF(AND($C27="Goal",AJ$7&gt;=$F27,AJ$7&lt;=$F27+$G27-1),2,IF(AND($C27="Milestone",AJ$7&gt;=$F27,AJ$7&lt;=$F27+$G27-1),1,""))</f>
        <v/>
      </c>
      <c r="AK20" s="23" t="str">
        <f ca="1">IF(AND($C27="Goal",AK$7&gt;=$F27,AK$7&lt;=$F27+$G27-1),2,IF(AND($C27="Milestone",AK$7&gt;=$F27,AK$7&lt;=$F27+$G27-1),1,""))</f>
        <v/>
      </c>
      <c r="AL20" s="23" t="str">
        <f ca="1">IF(AND($C27="Goal",AL$7&gt;=$F27,AL$7&lt;=$F27+$G27-1),2,IF(AND($C27="Milestone",AL$7&gt;=$F27,AL$7&lt;=$F27+$G27-1),1,""))</f>
        <v/>
      </c>
      <c r="AM20" s="23" t="str">
        <f ca="1">IF(AND($C27="Goal",AM$7&gt;=$F27,AM$7&lt;=$F27+$G27-1),2,IF(AND($C27="Milestone",AM$7&gt;=$F27,AM$7&lt;=$F27+$G27-1),1,""))</f>
        <v/>
      </c>
      <c r="AN20" s="23" t="str">
        <f ca="1">IF(AND($C27="Goal",AN$7&gt;=$F27,AN$7&lt;=$F27+$G27-1),2,IF(AND($C27="Milestone",AN$7&gt;=$F27,AN$7&lt;=$F27+$G27-1),1,""))</f>
        <v/>
      </c>
      <c r="AO20" s="23" t="str">
        <f ca="1">IF(AND($C27="Goal",AO$7&gt;=$F27,AO$7&lt;=$F27+$G27-1),2,IF(AND($C27="Milestone",AO$7&gt;=$F27,AO$7&lt;=$F27+$G27-1),1,""))</f>
        <v/>
      </c>
      <c r="AP20" s="23" t="str">
        <f ca="1">IF(AND($C27="Goal",AP$7&gt;=$F27,AP$7&lt;=$F27+$G27-1),2,IF(AND($C27="Milestone",AP$7&gt;=$F27,AP$7&lt;=$F27+$G27-1),1,""))</f>
        <v/>
      </c>
      <c r="AQ20" s="23" t="str">
        <f ca="1">IF(AND($C27="Goal",AQ$7&gt;=$F27,AQ$7&lt;=$F27+$G27-1),2,IF(AND($C27="Milestone",AQ$7&gt;=$F27,AQ$7&lt;=$F27+$G27-1),1,""))</f>
        <v/>
      </c>
      <c r="AR20" s="23" t="str">
        <f ca="1">IF(AND($C27="Goal",AR$7&gt;=$F27,AR$7&lt;=$F27+$G27-1),2,IF(AND($C27="Milestone",AR$7&gt;=$F27,AR$7&lt;=$F27+$G27-1),1,""))</f>
        <v/>
      </c>
      <c r="AS20" s="23" t="str">
        <f ca="1">IF(AND($C27="Goal",AS$7&gt;=$F27,AS$7&lt;=$F27+$G27-1),2,IF(AND($C27="Milestone",AS$7&gt;=$F27,AS$7&lt;=$F27+$G27-1),1,""))</f>
        <v/>
      </c>
      <c r="AT20" s="23" t="str">
        <f ca="1">IF(AND($C27="Goal",AT$7&gt;=$F27,AT$7&lt;=$F27+$G27-1),2,IF(AND($C27="Milestone",AT$7&gt;=$F27,AT$7&lt;=$F27+$G27-1),1,""))</f>
        <v/>
      </c>
      <c r="AU20" s="23" t="str">
        <f ca="1">IF(AND($C27="Goal",AU$7&gt;=$F27,AU$7&lt;=$F27+$G27-1),2,IF(AND($C27="Milestone",AU$7&gt;=$F27,AU$7&lt;=$F27+$G27-1),1,""))</f>
        <v/>
      </c>
      <c r="AV20" s="23" t="str">
        <f ca="1">IF(AND($C27="Goal",AV$7&gt;=$F27,AV$7&lt;=$F27+$G27-1),2,IF(AND($C27="Milestone",AV$7&gt;=$F27,AV$7&lt;=$F27+$G27-1),1,""))</f>
        <v/>
      </c>
      <c r="AW20" s="23" t="str">
        <f ca="1">IF(AND($C27="Goal",AW$7&gt;=$F27,AW$7&lt;=$F27+$G27-1),2,IF(AND($C27="Milestone",AW$7&gt;=$F27,AW$7&lt;=$F27+$G27-1),1,""))</f>
        <v/>
      </c>
      <c r="AX20" s="23" t="str">
        <f ca="1">IF(AND($C27="Goal",AX$7&gt;=$F27,AX$7&lt;=$F27+$G27-1),2,IF(AND($C27="Milestone",AX$7&gt;=$F27,AX$7&lt;=$F27+$G27-1),1,""))</f>
        <v/>
      </c>
      <c r="AY20" s="23" t="str">
        <f ca="1">IF(AND($C27="Goal",AY$7&gt;=$F27,AY$7&lt;=$F27+$G27-1),2,IF(AND($C27="Milestone",AY$7&gt;=$F27,AY$7&lt;=$F27+$G27-1),1,""))</f>
        <v/>
      </c>
      <c r="AZ20" s="23" t="str">
        <f ca="1">IF(AND($C27="Goal",AZ$7&gt;=$F27,AZ$7&lt;=$F27+$G27-1),2,IF(AND($C27="Milestone",AZ$7&gt;=$F27,AZ$7&lt;=$F27+$G27-1),1,""))</f>
        <v/>
      </c>
      <c r="BA20" s="23" t="str">
        <f ca="1">IF(AND($C27="Goal",BA$7&gt;=$F27,BA$7&lt;=$F27+$G27-1),2,IF(AND($C27="Milestone",BA$7&gt;=$F27,BA$7&lt;=$F27+$G27-1),1,""))</f>
        <v/>
      </c>
      <c r="BB20" s="23" t="str">
        <f ca="1">IF(AND($C27="Goal",BB$7&gt;=$F27,BB$7&lt;=$F27+$G27-1),2,IF(AND($C27="Milestone",BB$7&gt;=$F27,BB$7&lt;=$F27+$G27-1),1,""))</f>
        <v/>
      </c>
      <c r="BC20" s="23" t="str">
        <f ca="1">IF(AND($C27="Goal",BC$7&gt;=$F27,BC$7&lt;=$F27+$G27-1),2,IF(AND($C27="Milestone",BC$7&gt;=$F27,BC$7&lt;=$F27+$G27-1),1,""))</f>
        <v/>
      </c>
      <c r="BD20" s="23" t="str">
        <f ca="1">IF(AND($C27="Goal",BD$7&gt;=$F27,BD$7&lt;=$F27+$G27-1),2,IF(AND($C27="Milestone",BD$7&gt;=$F27,BD$7&lt;=$F27+$G27-1),1,""))</f>
        <v/>
      </c>
      <c r="BE20" s="23" t="str">
        <f ca="1">IF(AND($C27="Goal",BE$7&gt;=$F27,BE$7&lt;=$F27+$G27-1),2,IF(AND($C27="Milestone",BE$7&gt;=$F27,BE$7&lt;=$F27+$G27-1),1,""))</f>
        <v/>
      </c>
      <c r="BF20" s="23" t="str">
        <f ca="1">IF(AND($C27="Goal",BF$7&gt;=$F27,BF$7&lt;=$F27+$G27-1),2,IF(AND($C27="Milestone",BF$7&gt;=$F27,BF$7&lt;=$F27+$G27-1),1,""))</f>
        <v/>
      </c>
      <c r="BG20" s="23" t="str">
        <f ca="1">IF(AND($C27="Goal",BG$7&gt;=$F27,BG$7&lt;=$F27+$G27-1),2,IF(AND($C27="Milestone",BG$7&gt;=$F27,BG$7&lt;=$F27+$G27-1),1,""))</f>
        <v/>
      </c>
      <c r="BH20" s="23" t="str">
        <f ca="1">IF(AND($C27="Goal",BH$7&gt;=$F27,BH$7&lt;=$F27+$G27-1),2,IF(AND($C27="Milestone",BH$7&gt;=$F27,BH$7&lt;=$F27+$G27-1),1,""))</f>
        <v/>
      </c>
      <c r="BI20" s="23" t="str">
        <f ca="1">IF(AND($C27="Goal",BI$7&gt;=$F27,BI$7&lt;=$F27+$G27-1),2,IF(AND($C27="Milestone",BI$7&gt;=$F27,BI$7&lt;=$F27+$G27-1),1,""))</f>
        <v/>
      </c>
      <c r="BJ20" s="23" t="str">
        <f ca="1">IF(AND($C27="Goal",BJ$7&gt;=$F27,BJ$7&lt;=$F27+$G27-1),2,IF(AND($C27="Milestone",BJ$7&gt;=$F27,BJ$7&lt;=$F27+$G27-1),1,""))</f>
        <v/>
      </c>
      <c r="BK20" s="23" t="str">
        <f ca="1">IF(AND($C27="Goal",BK$7&gt;=$F27,BK$7&lt;=$F27+$G27-1),2,IF(AND($C27="Milestone",BK$7&gt;=$F27,BK$7&lt;=$F27+$G27-1),1,""))</f>
        <v/>
      </c>
      <c r="BL20" s="23" t="str">
        <f ca="1">IF(AND($C27="Goal",BL$7&gt;=$F27,BL$7&lt;=$F27+$G27-1),2,IF(AND($C27="Milestone",BL$7&gt;=$F27,BL$7&lt;=$F27+$G27-1),1,""))</f>
        <v/>
      </c>
      <c r="BM20" s="24"/>
    </row>
    <row r="21" spans="1:65" s="1" customFormat="1" ht="40.15" customHeight="1" x14ac:dyDescent="0.25">
      <c r="A21" s="9"/>
      <c r="B21" s="133" t="s">
        <v>52</v>
      </c>
      <c r="C21" s="21" t="s">
        <v>13</v>
      </c>
      <c r="D21" s="21" t="s">
        <v>40</v>
      </c>
      <c r="E21" s="138">
        <v>1</v>
      </c>
      <c r="F21" s="139">
        <v>46091</v>
      </c>
      <c r="G21" s="140">
        <v>4</v>
      </c>
      <c r="H21" s="19"/>
      <c r="I21" s="43" t="str">
        <f ca="1">IF(AND($C28="Goal",I$7&gt;=$F28,I$7&lt;=$F28+$G28-1),2,IF(AND($C28="Milestone",I$7&gt;=$F28,I$7&lt;=$F28+$G28-1),1,""))</f>
        <v/>
      </c>
      <c r="J21" s="23" t="str">
        <f ca="1">IF(AND($C28="Goal",J$7&gt;=$F28,J$7&lt;=$F28+$G28-1),2,IF(AND($C28="Milestone",J$7&gt;=$F28,J$7&lt;=$F28+$G28-1),1,""))</f>
        <v/>
      </c>
      <c r="K21" s="23" t="str">
        <f ca="1">IF(AND($C28="Goal",K$7&gt;=$F28,K$7&lt;=$F28+$G28-1),2,IF(AND($C28="Milestone",K$7&gt;=$F28,K$7&lt;=$F28+$G28-1),1,""))</f>
        <v/>
      </c>
      <c r="L21" s="23" t="str">
        <f ca="1">IF(AND($C28="Goal",L$7&gt;=$F28,L$7&lt;=$F28+$G28-1),2,IF(AND($C28="Milestone",L$7&gt;=$F28,L$7&lt;=$F28+$G28-1),1,""))</f>
        <v/>
      </c>
      <c r="M21" s="23" t="str">
        <f ca="1">IF(AND($C28="Goal",M$7&gt;=$F28,M$7&lt;=$F28+$G28-1),2,IF(AND($C28="Milestone",M$7&gt;=$F28,M$7&lt;=$F28+$G28-1),1,""))</f>
        <v/>
      </c>
      <c r="N21" s="23" t="str">
        <f ca="1">IF(AND($C28="Goal",N$7&gt;=$F28,N$7&lt;=$F28+$G28-1),2,IF(AND($C28="Milestone",N$7&gt;=$F28,N$7&lt;=$F28+$G28-1),1,""))</f>
        <v/>
      </c>
      <c r="O21" s="23" t="str">
        <f ca="1">IF(AND($C28="Goal",O$7&gt;=$F28,O$7&lt;=$F28+$G28-1),2,IF(AND($C28="Milestone",O$7&gt;=$F28,O$7&lt;=$F28+$G28-1),1,""))</f>
        <v/>
      </c>
      <c r="P21" s="23" t="str">
        <f ca="1">IF(AND($C28="Goal",P$7&gt;=$F28,P$7&lt;=$F28+$G28-1),2,IF(AND($C28="Milestone",P$7&gt;=$F28,P$7&lt;=$F28+$G28-1),1,""))</f>
        <v/>
      </c>
      <c r="Q21" s="23" t="str">
        <f ca="1">IF(AND($C28="Goal",Q$7&gt;=$F28,Q$7&lt;=$F28+$G28-1),2,IF(AND($C28="Milestone",Q$7&gt;=$F28,Q$7&lt;=$F28+$G28-1),1,""))</f>
        <v/>
      </c>
      <c r="R21" s="23" t="str">
        <f ca="1">IF(AND($C28="Goal",R$7&gt;=$F28,R$7&lt;=$F28+$G28-1),2,IF(AND($C28="Milestone",R$7&gt;=$F28,R$7&lt;=$F28+$G28-1),1,""))</f>
        <v/>
      </c>
      <c r="S21" s="23" t="str">
        <f ca="1">IF(AND($C28="Goal",S$7&gt;=$F28,S$7&lt;=$F28+$G28-1),2,IF(AND($C28="Milestone",S$7&gt;=$F28,S$7&lt;=$F28+$G28-1),1,""))</f>
        <v/>
      </c>
      <c r="T21" s="23" t="str">
        <f ca="1">IF(AND($C28="Goal",T$7&gt;=$F28,T$7&lt;=$F28+$G28-1),2,IF(AND($C28="Milestone",T$7&gt;=$F28,T$7&lt;=$F28+$G28-1),1,""))</f>
        <v/>
      </c>
      <c r="U21" s="23" t="str">
        <f ca="1">IF(AND($C28="Goal",U$7&gt;=$F28,U$7&lt;=$F28+$G28-1),2,IF(AND($C28="Milestone",U$7&gt;=$F28,U$7&lt;=$F28+$G28-1),1,""))</f>
        <v/>
      </c>
      <c r="V21" s="23" t="str">
        <f ca="1">IF(AND($C28="Goal",V$7&gt;=$F28,V$7&lt;=$F28+$G28-1),2,IF(AND($C28="Milestone",V$7&gt;=$F28,V$7&lt;=$F28+$G28-1),1,""))</f>
        <v/>
      </c>
      <c r="W21" s="23" t="str">
        <f ca="1">IF(AND($C28="Goal",W$7&gt;=$F28,W$7&lt;=$F28+$G28-1),2,IF(AND($C28="Milestone",W$7&gt;=$F28,W$7&lt;=$F28+$G28-1),1,""))</f>
        <v/>
      </c>
      <c r="X21" s="23" t="str">
        <f ca="1">IF(AND($C28="Goal",X$7&gt;=$F28,X$7&lt;=$F28+$G28-1),2,IF(AND($C28="Milestone",X$7&gt;=$F28,X$7&lt;=$F28+$G28-1),1,""))</f>
        <v/>
      </c>
      <c r="Y21" s="23">
        <f ca="1">IF(AND($C28="Goal",Y$7&gt;=$F28,Y$7&lt;=$F28+$G28-1),2,IF(AND($C28="Milestone",Y$7&gt;=$F28,Y$7&lt;=$F28+$G28-1),1,""))</f>
        <v>1</v>
      </c>
      <c r="Z21" s="23" t="str">
        <f ca="1">IF(AND($C28="Goal",Z$7&gt;=$F28,Z$7&lt;=$F28+$G28-1),2,IF(AND($C28="Milestone",Z$7&gt;=$F28,Z$7&lt;=$F28+$G28-1),1,""))</f>
        <v/>
      </c>
      <c r="AA21" s="23" t="str">
        <f ca="1">IF(AND($C28="Goal",AA$7&gt;=$F28,AA$7&lt;=$F28+$G28-1),2,IF(AND($C28="Milestone",AA$7&gt;=$F28,AA$7&lt;=$F28+$G28-1),1,""))</f>
        <v/>
      </c>
      <c r="AB21" s="23" t="str">
        <f ca="1">IF(AND($C28="Goal",AB$7&gt;=$F28,AB$7&lt;=$F28+$G28-1),2,IF(AND($C28="Milestone",AB$7&gt;=$F28,AB$7&lt;=$F28+$G28-1),1,""))</f>
        <v/>
      </c>
      <c r="AC21" s="23" t="str">
        <f ca="1">IF(AND($C28="Goal",AC$7&gt;=$F28,AC$7&lt;=$F28+$G28-1),2,IF(AND($C28="Milestone",AC$7&gt;=$F28,AC$7&lt;=$F28+$G28-1),1,""))</f>
        <v/>
      </c>
      <c r="AD21" s="23" t="str">
        <f ca="1">IF(AND($C28="Goal",AD$7&gt;=$F28,AD$7&lt;=$F28+$G28-1),2,IF(AND($C28="Milestone",AD$7&gt;=$F28,AD$7&lt;=$F28+$G28-1),1,""))</f>
        <v/>
      </c>
      <c r="AE21" s="23" t="str">
        <f ca="1">IF(AND($C28="Goal",AE$7&gt;=$F28,AE$7&lt;=$F28+$G28-1),2,IF(AND($C28="Milestone",AE$7&gt;=$F28,AE$7&lt;=$F28+$G28-1),1,""))</f>
        <v/>
      </c>
      <c r="AF21" s="23" t="str">
        <f ca="1">IF(AND($C28="Goal",AF$7&gt;=$F28,AF$7&lt;=$F28+$G28-1),2,IF(AND($C28="Milestone",AF$7&gt;=$F28,AF$7&lt;=$F28+$G28-1),1,""))</f>
        <v/>
      </c>
      <c r="AG21" s="23" t="str">
        <f ca="1">IF(AND($C28="Goal",AG$7&gt;=$F28,AG$7&lt;=$F28+$G28-1),2,IF(AND($C28="Milestone",AG$7&gt;=$F28,AG$7&lt;=$F28+$G28-1),1,""))</f>
        <v/>
      </c>
      <c r="AH21" s="23" t="str">
        <f ca="1">IF(AND($C28="Goal",AH$7&gt;=$F28,AH$7&lt;=$F28+$G28-1),2,IF(AND($C28="Milestone",AH$7&gt;=$F28,AH$7&lt;=$F28+$G28-1),1,""))</f>
        <v/>
      </c>
      <c r="AI21" s="23" t="str">
        <f ca="1">IF(AND($C28="Goal",AI$7&gt;=$F28,AI$7&lt;=$F28+$G28-1),2,IF(AND($C28="Milestone",AI$7&gt;=$F28,AI$7&lt;=$F28+$G28-1),1,""))</f>
        <v/>
      </c>
      <c r="AJ21" s="23" t="str">
        <f ca="1">IF(AND($C28="Goal",AJ$7&gt;=$F28,AJ$7&lt;=$F28+$G28-1),2,IF(AND($C28="Milestone",AJ$7&gt;=$F28,AJ$7&lt;=$F28+$G28-1),1,""))</f>
        <v/>
      </c>
      <c r="AK21" s="23" t="str">
        <f ca="1">IF(AND($C28="Goal",AK$7&gt;=$F28,AK$7&lt;=$F28+$G28-1),2,IF(AND($C28="Milestone",AK$7&gt;=$F28,AK$7&lt;=$F28+$G28-1),1,""))</f>
        <v/>
      </c>
      <c r="AL21" s="23" t="str">
        <f ca="1">IF(AND($C28="Goal",AL$7&gt;=$F28,AL$7&lt;=$F28+$G28-1),2,IF(AND($C28="Milestone",AL$7&gt;=$F28,AL$7&lt;=$F28+$G28-1),1,""))</f>
        <v/>
      </c>
      <c r="AM21" s="23" t="str">
        <f ca="1">IF(AND($C28="Goal",AM$7&gt;=$F28,AM$7&lt;=$F28+$G28-1),2,IF(AND($C28="Milestone",AM$7&gt;=$F28,AM$7&lt;=$F28+$G28-1),1,""))</f>
        <v/>
      </c>
      <c r="AN21" s="23" t="str">
        <f ca="1">IF(AND($C28="Goal",AN$7&gt;=$F28,AN$7&lt;=$F28+$G28-1),2,IF(AND($C28="Milestone",AN$7&gt;=$F28,AN$7&lt;=$F28+$G28-1),1,""))</f>
        <v/>
      </c>
      <c r="AO21" s="23" t="str">
        <f ca="1">IF(AND($C28="Goal",AO$7&gt;=$F28,AO$7&lt;=$F28+$G28-1),2,IF(AND($C28="Milestone",AO$7&gt;=$F28,AO$7&lt;=$F28+$G28-1),1,""))</f>
        <v/>
      </c>
      <c r="AP21" s="23" t="str">
        <f ca="1">IF(AND($C28="Goal",AP$7&gt;=$F28,AP$7&lt;=$F28+$G28-1),2,IF(AND($C28="Milestone",AP$7&gt;=$F28,AP$7&lt;=$F28+$G28-1),1,""))</f>
        <v/>
      </c>
      <c r="AQ21" s="23" t="str">
        <f ca="1">IF(AND($C28="Goal",AQ$7&gt;=$F28,AQ$7&lt;=$F28+$G28-1),2,IF(AND($C28="Milestone",AQ$7&gt;=$F28,AQ$7&lt;=$F28+$G28-1),1,""))</f>
        <v/>
      </c>
      <c r="AR21" s="23" t="str">
        <f ca="1">IF(AND($C28="Goal",AR$7&gt;=$F28,AR$7&lt;=$F28+$G28-1),2,IF(AND($C28="Milestone",AR$7&gt;=$F28,AR$7&lt;=$F28+$G28-1),1,""))</f>
        <v/>
      </c>
      <c r="AS21" s="23" t="str">
        <f ca="1">IF(AND($C28="Goal",AS$7&gt;=$F28,AS$7&lt;=$F28+$G28-1),2,IF(AND($C28="Milestone",AS$7&gt;=$F28,AS$7&lt;=$F28+$G28-1),1,""))</f>
        <v/>
      </c>
      <c r="AT21" s="23" t="str">
        <f ca="1">IF(AND($C28="Goal",AT$7&gt;=$F28,AT$7&lt;=$F28+$G28-1),2,IF(AND($C28="Milestone",AT$7&gt;=$F28,AT$7&lt;=$F28+$G28-1),1,""))</f>
        <v/>
      </c>
      <c r="AU21" s="23" t="str">
        <f ca="1">IF(AND($C28="Goal",AU$7&gt;=$F28,AU$7&lt;=$F28+$G28-1),2,IF(AND($C28="Milestone",AU$7&gt;=$F28,AU$7&lt;=$F28+$G28-1),1,""))</f>
        <v/>
      </c>
      <c r="AV21" s="23" t="str">
        <f ca="1">IF(AND($C28="Goal",AV$7&gt;=$F28,AV$7&lt;=$F28+$G28-1),2,IF(AND($C28="Milestone",AV$7&gt;=$F28,AV$7&lt;=$F28+$G28-1),1,""))</f>
        <v/>
      </c>
      <c r="AW21" s="23" t="str">
        <f ca="1">IF(AND($C28="Goal",AW$7&gt;=$F28,AW$7&lt;=$F28+$G28-1),2,IF(AND($C28="Milestone",AW$7&gt;=$F28,AW$7&lt;=$F28+$G28-1),1,""))</f>
        <v/>
      </c>
      <c r="AX21" s="23" t="str">
        <f ca="1">IF(AND($C28="Goal",AX$7&gt;=$F28,AX$7&lt;=$F28+$G28-1),2,IF(AND($C28="Milestone",AX$7&gt;=$F28,AX$7&lt;=$F28+$G28-1),1,""))</f>
        <v/>
      </c>
      <c r="AY21" s="23" t="str">
        <f ca="1">IF(AND($C28="Goal",AY$7&gt;=$F28,AY$7&lt;=$F28+$G28-1),2,IF(AND($C28="Milestone",AY$7&gt;=$F28,AY$7&lt;=$F28+$G28-1),1,""))</f>
        <v/>
      </c>
      <c r="AZ21" s="23" t="str">
        <f ca="1">IF(AND($C28="Goal",AZ$7&gt;=$F28,AZ$7&lt;=$F28+$G28-1),2,IF(AND($C28="Milestone",AZ$7&gt;=$F28,AZ$7&lt;=$F28+$G28-1),1,""))</f>
        <v/>
      </c>
      <c r="BA21" s="23" t="str">
        <f ca="1">IF(AND($C28="Goal",BA$7&gt;=$F28,BA$7&lt;=$F28+$G28-1),2,IF(AND($C28="Milestone",BA$7&gt;=$F28,BA$7&lt;=$F28+$G28-1),1,""))</f>
        <v/>
      </c>
      <c r="BB21" s="23" t="str">
        <f ca="1">IF(AND($C28="Goal",BB$7&gt;=$F28,BB$7&lt;=$F28+$G28-1),2,IF(AND($C28="Milestone",BB$7&gt;=$F28,BB$7&lt;=$F28+$G28-1),1,""))</f>
        <v/>
      </c>
      <c r="BC21" s="23" t="str">
        <f ca="1">IF(AND($C28="Goal",BC$7&gt;=$F28,BC$7&lt;=$F28+$G28-1),2,IF(AND($C28="Milestone",BC$7&gt;=$F28,BC$7&lt;=$F28+$G28-1),1,""))</f>
        <v/>
      </c>
      <c r="BD21" s="23" t="str">
        <f ca="1">IF(AND($C28="Goal",BD$7&gt;=$F28,BD$7&lt;=$F28+$G28-1),2,IF(AND($C28="Milestone",BD$7&gt;=$F28,BD$7&lt;=$F28+$G28-1),1,""))</f>
        <v/>
      </c>
      <c r="BE21" s="23" t="str">
        <f ca="1">IF(AND($C28="Goal",BE$7&gt;=$F28,BE$7&lt;=$F28+$G28-1),2,IF(AND($C28="Milestone",BE$7&gt;=$F28,BE$7&lt;=$F28+$G28-1),1,""))</f>
        <v/>
      </c>
      <c r="BF21" s="23" t="str">
        <f ca="1">IF(AND($C28="Goal",BF$7&gt;=$F28,BF$7&lt;=$F28+$G28-1),2,IF(AND($C28="Milestone",BF$7&gt;=$F28,BF$7&lt;=$F28+$G28-1),1,""))</f>
        <v/>
      </c>
      <c r="BG21" s="23" t="str">
        <f ca="1">IF(AND($C28="Goal",BG$7&gt;=$F28,BG$7&lt;=$F28+$G28-1),2,IF(AND($C28="Milestone",BG$7&gt;=$F28,BG$7&lt;=$F28+$G28-1),1,""))</f>
        <v/>
      </c>
      <c r="BH21" s="23" t="str">
        <f ca="1">IF(AND($C28="Goal",BH$7&gt;=$F28,BH$7&lt;=$F28+$G28-1),2,IF(AND($C28="Milestone",BH$7&gt;=$F28,BH$7&lt;=$F28+$G28-1),1,""))</f>
        <v/>
      </c>
      <c r="BI21" s="23" t="str">
        <f ca="1">IF(AND($C28="Goal",BI$7&gt;=$F28,BI$7&lt;=$F28+$G28-1),2,IF(AND($C28="Milestone",BI$7&gt;=$F28,BI$7&lt;=$F28+$G28-1),1,""))</f>
        <v/>
      </c>
      <c r="BJ21" s="23" t="str">
        <f ca="1">IF(AND($C28="Goal",BJ$7&gt;=$F28,BJ$7&lt;=$F28+$G28-1),2,IF(AND($C28="Milestone",BJ$7&gt;=$F28,BJ$7&lt;=$F28+$G28-1),1,""))</f>
        <v/>
      </c>
      <c r="BK21" s="23" t="str">
        <f ca="1">IF(AND($C28="Goal",BK$7&gt;=$F28,BK$7&lt;=$F28+$G28-1),2,IF(AND($C28="Milestone",BK$7&gt;=$F28,BK$7&lt;=$F28+$G28-1),1,""))</f>
        <v/>
      </c>
      <c r="BL21" s="23" t="str">
        <f ca="1">IF(AND($C28="Goal",BL$7&gt;=$F28,BL$7&lt;=$F28+$G28-1),2,IF(AND($C28="Milestone",BL$7&gt;=$F28,BL$7&lt;=$F28+$G28-1),1,""))</f>
        <v/>
      </c>
      <c r="BM21" s="24"/>
    </row>
    <row r="22" spans="1:65" s="1" customFormat="1" ht="40.15" customHeight="1" x14ac:dyDescent="0.25">
      <c r="A22" s="9"/>
      <c r="B22" s="137" t="s">
        <v>50</v>
      </c>
      <c r="C22" s="21" t="s">
        <v>13</v>
      </c>
      <c r="D22" s="21" t="s">
        <v>40</v>
      </c>
      <c r="E22" s="138">
        <v>1</v>
      </c>
      <c r="F22" s="139">
        <v>46092</v>
      </c>
      <c r="G22" s="140">
        <v>3</v>
      </c>
      <c r="H22" s="19"/>
      <c r="I22" s="43" t="str">
        <f ca="1">IF(AND($C29="Goal",I$7&gt;=$F29,I$7&lt;=$F29+$G29-1),2,IF(AND($C29="Milestone",I$7&gt;=$F29,I$7&lt;=$F29+$G29-1),1,""))</f>
        <v/>
      </c>
      <c r="J22" s="23" t="str">
        <f ca="1">IF(AND($C29="Goal",J$7&gt;=$F29,J$7&lt;=$F29+$G29-1),2,IF(AND($C29="Milestone",J$7&gt;=$F29,J$7&lt;=$F29+$G29-1),1,""))</f>
        <v/>
      </c>
      <c r="K22" s="23" t="str">
        <f ca="1">IF(AND($C29="Goal",K$7&gt;=$F29,K$7&lt;=$F29+$G29-1),2,IF(AND($C29="Milestone",K$7&gt;=$F29,K$7&lt;=$F29+$G29-1),1,""))</f>
        <v/>
      </c>
      <c r="L22" s="23" t="str">
        <f ca="1">IF(AND($C29="Goal",L$7&gt;=$F29,L$7&lt;=$F29+$G29-1),2,IF(AND($C29="Milestone",L$7&gt;=$F29,L$7&lt;=$F29+$G29-1),1,""))</f>
        <v/>
      </c>
      <c r="M22" s="23" t="str">
        <f ca="1">IF(AND($C29="Goal",M$7&gt;=$F29,M$7&lt;=$F29+$G29-1),2,IF(AND($C29="Milestone",M$7&gt;=$F29,M$7&lt;=$F29+$G29-1),1,""))</f>
        <v/>
      </c>
      <c r="N22" s="23" t="str">
        <f ca="1">IF(AND($C29="Goal",N$7&gt;=$F29,N$7&lt;=$F29+$G29-1),2,IF(AND($C29="Milestone",N$7&gt;=$F29,N$7&lt;=$F29+$G29-1),1,""))</f>
        <v/>
      </c>
      <c r="O22" s="23" t="str">
        <f ca="1">IF(AND($C29="Goal",O$7&gt;=$F29,O$7&lt;=$F29+$G29-1),2,IF(AND($C29="Milestone",O$7&gt;=$F29,O$7&lt;=$F29+$G29-1),1,""))</f>
        <v/>
      </c>
      <c r="P22" s="23" t="str">
        <f ca="1">IF(AND($C29="Goal",P$7&gt;=$F29,P$7&lt;=$F29+$G29-1),2,IF(AND($C29="Milestone",P$7&gt;=$F29,P$7&lt;=$F29+$G29-1),1,""))</f>
        <v/>
      </c>
      <c r="Q22" s="23" t="str">
        <f ca="1">IF(AND($C29="Goal",Q$7&gt;=$F29,Q$7&lt;=$F29+$G29-1),2,IF(AND($C29="Milestone",Q$7&gt;=$F29,Q$7&lt;=$F29+$G29-1),1,""))</f>
        <v/>
      </c>
      <c r="R22" s="23" t="str">
        <f ca="1">IF(AND($C29="Goal",R$7&gt;=$F29,R$7&lt;=$F29+$G29-1),2,IF(AND($C29="Milestone",R$7&gt;=$F29,R$7&lt;=$F29+$G29-1),1,""))</f>
        <v/>
      </c>
      <c r="S22" s="23" t="str">
        <f ca="1">IF(AND($C29="Goal",S$7&gt;=$F29,S$7&lt;=$F29+$G29-1),2,IF(AND($C29="Milestone",S$7&gt;=$F29,S$7&lt;=$F29+$G29-1),1,""))</f>
        <v/>
      </c>
      <c r="T22" s="23" t="str">
        <f ca="1">IF(AND($C29="Goal",T$7&gt;=$F29,T$7&lt;=$F29+$G29-1),2,IF(AND($C29="Milestone",T$7&gt;=$F29,T$7&lt;=$F29+$G29-1),1,""))</f>
        <v/>
      </c>
      <c r="U22" s="23" t="str">
        <f ca="1">IF(AND($C29="Goal",U$7&gt;=$F29,U$7&lt;=$F29+$G29-1),2,IF(AND($C29="Milestone",U$7&gt;=$F29,U$7&lt;=$F29+$G29-1),1,""))</f>
        <v/>
      </c>
      <c r="V22" s="23" t="str">
        <f ca="1">IF(AND($C29="Goal",V$7&gt;=$F29,V$7&lt;=$F29+$G29-1),2,IF(AND($C29="Milestone",V$7&gt;=$F29,V$7&lt;=$F29+$G29-1),1,""))</f>
        <v/>
      </c>
      <c r="W22" s="23" t="str">
        <f ca="1">IF(AND($C29="Goal",W$7&gt;=$F29,W$7&lt;=$F29+$G29-1),2,IF(AND($C29="Milestone",W$7&gt;=$F29,W$7&lt;=$F29+$G29-1),1,""))</f>
        <v/>
      </c>
      <c r="X22" s="23" t="str">
        <f ca="1">IF(AND($C29="Goal",X$7&gt;=$F29,X$7&lt;=$F29+$G29-1),2,IF(AND($C29="Milestone",X$7&gt;=$F29,X$7&lt;=$F29+$G29-1),1,""))</f>
        <v/>
      </c>
      <c r="Y22" s="23" t="str">
        <f ca="1">IF(AND($C29="Goal",Y$7&gt;=$F29,Y$7&lt;=$F29+$G29-1),2,IF(AND($C29="Milestone",Y$7&gt;=$F29,Y$7&lt;=$F29+$G29-1),1,""))</f>
        <v/>
      </c>
      <c r="Z22" s="23" t="str">
        <f ca="1">IF(AND($C29="Goal",Z$7&gt;=$F29,Z$7&lt;=$F29+$G29-1),2,IF(AND($C29="Milestone",Z$7&gt;=$F29,Z$7&lt;=$F29+$G29-1),1,""))</f>
        <v/>
      </c>
      <c r="AA22" s="23" t="str">
        <f ca="1">IF(AND($C29="Goal",AA$7&gt;=$F29,AA$7&lt;=$F29+$G29-1),2,IF(AND($C29="Milestone",AA$7&gt;=$F29,AA$7&lt;=$F29+$G29-1),1,""))</f>
        <v/>
      </c>
      <c r="AB22" s="23" t="str">
        <f ca="1">IF(AND($C29="Goal",AB$7&gt;=$F29,AB$7&lt;=$F29+$G29-1),2,IF(AND($C29="Milestone",AB$7&gt;=$F29,AB$7&lt;=$F29+$G29-1),1,""))</f>
        <v/>
      </c>
      <c r="AC22" s="23" t="str">
        <f ca="1">IF(AND($C29="Goal",AC$7&gt;=$F29,AC$7&lt;=$F29+$G29-1),2,IF(AND($C29="Milestone",AC$7&gt;=$F29,AC$7&lt;=$F29+$G29-1),1,""))</f>
        <v/>
      </c>
      <c r="AD22" s="23" t="str">
        <f ca="1">IF(AND($C29="Goal",AD$7&gt;=$F29,AD$7&lt;=$F29+$G29-1),2,IF(AND($C29="Milestone",AD$7&gt;=$F29,AD$7&lt;=$F29+$G29-1),1,""))</f>
        <v/>
      </c>
      <c r="AE22" s="23" t="str">
        <f ca="1">IF(AND($C29="Goal",AE$7&gt;=$F29,AE$7&lt;=$F29+$G29-1),2,IF(AND($C29="Milestone",AE$7&gt;=$F29,AE$7&lt;=$F29+$G29-1),1,""))</f>
        <v/>
      </c>
      <c r="AF22" s="23" t="str">
        <f ca="1">IF(AND($C29="Goal",AF$7&gt;=$F29,AF$7&lt;=$F29+$G29-1),2,IF(AND($C29="Milestone",AF$7&gt;=$F29,AF$7&lt;=$F29+$G29-1),1,""))</f>
        <v/>
      </c>
      <c r="AG22" s="23" t="str">
        <f ca="1">IF(AND($C29="Goal",AG$7&gt;=$F29,AG$7&lt;=$F29+$G29-1),2,IF(AND($C29="Milestone",AG$7&gt;=$F29,AG$7&lt;=$F29+$G29-1),1,""))</f>
        <v/>
      </c>
      <c r="AH22" s="23" t="str">
        <f ca="1">IF(AND($C29="Goal",AH$7&gt;=$F29,AH$7&lt;=$F29+$G29-1),2,IF(AND($C29="Milestone",AH$7&gt;=$F29,AH$7&lt;=$F29+$G29-1),1,""))</f>
        <v/>
      </c>
      <c r="AI22" s="23" t="str">
        <f ca="1">IF(AND($C29="Goal",AI$7&gt;=$F29,AI$7&lt;=$F29+$G29-1),2,IF(AND($C29="Milestone",AI$7&gt;=$F29,AI$7&lt;=$F29+$G29-1),1,""))</f>
        <v/>
      </c>
      <c r="AJ22" s="23" t="str">
        <f ca="1">IF(AND($C29="Goal",AJ$7&gt;=$F29,AJ$7&lt;=$F29+$G29-1),2,IF(AND($C29="Milestone",AJ$7&gt;=$F29,AJ$7&lt;=$F29+$G29-1),1,""))</f>
        <v/>
      </c>
      <c r="AK22" s="23" t="str">
        <f ca="1">IF(AND($C29="Goal",AK$7&gt;=$F29,AK$7&lt;=$F29+$G29-1),2,IF(AND($C29="Milestone",AK$7&gt;=$F29,AK$7&lt;=$F29+$G29-1),1,""))</f>
        <v/>
      </c>
      <c r="AL22" s="23" t="str">
        <f ca="1">IF(AND($C29="Goal",AL$7&gt;=$F29,AL$7&lt;=$F29+$G29-1),2,IF(AND($C29="Milestone",AL$7&gt;=$F29,AL$7&lt;=$F29+$G29-1),1,""))</f>
        <v/>
      </c>
      <c r="AM22" s="23" t="str">
        <f ca="1">IF(AND($C29="Goal",AM$7&gt;=$F29,AM$7&lt;=$F29+$G29-1),2,IF(AND($C29="Milestone",AM$7&gt;=$F29,AM$7&lt;=$F29+$G29-1),1,""))</f>
        <v/>
      </c>
      <c r="AN22" s="23" t="str">
        <f ca="1">IF(AND($C29="Goal",AN$7&gt;=$F29,AN$7&lt;=$F29+$G29-1),2,IF(AND($C29="Milestone",AN$7&gt;=$F29,AN$7&lt;=$F29+$G29-1),1,""))</f>
        <v/>
      </c>
      <c r="AO22" s="23" t="str">
        <f ca="1">IF(AND($C29="Goal",AO$7&gt;=$F29,AO$7&lt;=$F29+$G29-1),2,IF(AND($C29="Milestone",AO$7&gt;=$F29,AO$7&lt;=$F29+$G29-1),1,""))</f>
        <v/>
      </c>
      <c r="AP22" s="23" t="str">
        <f ca="1">IF(AND($C29="Goal",AP$7&gt;=$F29,AP$7&lt;=$F29+$G29-1),2,IF(AND($C29="Milestone",AP$7&gt;=$F29,AP$7&lt;=$F29+$G29-1),1,""))</f>
        <v/>
      </c>
      <c r="AQ22" s="23" t="str">
        <f ca="1">IF(AND($C29="Goal",AQ$7&gt;=$F29,AQ$7&lt;=$F29+$G29-1),2,IF(AND($C29="Milestone",AQ$7&gt;=$F29,AQ$7&lt;=$F29+$G29-1),1,""))</f>
        <v/>
      </c>
      <c r="AR22" s="23" t="str">
        <f ca="1">IF(AND($C29="Goal",AR$7&gt;=$F29,AR$7&lt;=$F29+$G29-1),2,IF(AND($C29="Milestone",AR$7&gt;=$F29,AR$7&lt;=$F29+$G29-1),1,""))</f>
        <v/>
      </c>
      <c r="AS22" s="23" t="str">
        <f ca="1">IF(AND($C29="Goal",AS$7&gt;=$F29,AS$7&lt;=$F29+$G29-1),2,IF(AND($C29="Milestone",AS$7&gt;=$F29,AS$7&lt;=$F29+$G29-1),1,""))</f>
        <v/>
      </c>
      <c r="AT22" s="23" t="str">
        <f ca="1">IF(AND($C29="Goal",AT$7&gt;=$F29,AT$7&lt;=$F29+$G29-1),2,IF(AND($C29="Milestone",AT$7&gt;=$F29,AT$7&lt;=$F29+$G29-1),1,""))</f>
        <v/>
      </c>
      <c r="AU22" s="23" t="str">
        <f ca="1">IF(AND($C29="Goal",AU$7&gt;=$F29,AU$7&lt;=$F29+$G29-1),2,IF(AND($C29="Milestone",AU$7&gt;=$F29,AU$7&lt;=$F29+$G29-1),1,""))</f>
        <v/>
      </c>
      <c r="AV22" s="23" t="str">
        <f ca="1">IF(AND($C29="Goal",AV$7&gt;=$F29,AV$7&lt;=$F29+$G29-1),2,IF(AND($C29="Milestone",AV$7&gt;=$F29,AV$7&lt;=$F29+$G29-1),1,""))</f>
        <v/>
      </c>
      <c r="AW22" s="23" t="str">
        <f ca="1">IF(AND($C29="Goal",AW$7&gt;=$F29,AW$7&lt;=$F29+$G29-1),2,IF(AND($C29="Milestone",AW$7&gt;=$F29,AW$7&lt;=$F29+$G29-1),1,""))</f>
        <v/>
      </c>
      <c r="AX22" s="23" t="str">
        <f ca="1">IF(AND($C29="Goal",AX$7&gt;=$F29,AX$7&lt;=$F29+$G29-1),2,IF(AND($C29="Milestone",AX$7&gt;=$F29,AX$7&lt;=$F29+$G29-1),1,""))</f>
        <v/>
      </c>
      <c r="AY22" s="23" t="str">
        <f ca="1">IF(AND($C29="Goal",AY$7&gt;=$F29,AY$7&lt;=$F29+$G29-1),2,IF(AND($C29="Milestone",AY$7&gt;=$F29,AY$7&lt;=$F29+$G29-1),1,""))</f>
        <v/>
      </c>
      <c r="AZ22" s="23" t="str">
        <f ca="1">IF(AND($C29="Goal",AZ$7&gt;=$F29,AZ$7&lt;=$F29+$G29-1),2,IF(AND($C29="Milestone",AZ$7&gt;=$F29,AZ$7&lt;=$F29+$G29-1),1,""))</f>
        <v/>
      </c>
      <c r="BA22" s="23" t="str">
        <f ca="1">IF(AND($C29="Goal",BA$7&gt;=$F29,BA$7&lt;=$F29+$G29-1),2,IF(AND($C29="Milestone",BA$7&gt;=$F29,BA$7&lt;=$F29+$G29-1),1,""))</f>
        <v/>
      </c>
      <c r="BB22" s="23" t="str">
        <f ca="1">IF(AND($C29="Goal",BB$7&gt;=$F29,BB$7&lt;=$F29+$G29-1),2,IF(AND($C29="Milestone",BB$7&gt;=$F29,BB$7&lt;=$F29+$G29-1),1,""))</f>
        <v/>
      </c>
      <c r="BC22" s="23" t="str">
        <f ca="1">IF(AND($C29="Goal",BC$7&gt;=$F29,BC$7&lt;=$F29+$G29-1),2,IF(AND($C29="Milestone",BC$7&gt;=$F29,BC$7&lt;=$F29+$G29-1),1,""))</f>
        <v/>
      </c>
      <c r="BD22" s="23" t="str">
        <f ca="1">IF(AND($C29="Goal",BD$7&gt;=$F29,BD$7&lt;=$F29+$G29-1),2,IF(AND($C29="Milestone",BD$7&gt;=$F29,BD$7&lt;=$F29+$G29-1),1,""))</f>
        <v/>
      </c>
      <c r="BE22" s="23" t="str">
        <f ca="1">IF(AND($C29="Goal",BE$7&gt;=$F29,BE$7&lt;=$F29+$G29-1),2,IF(AND($C29="Milestone",BE$7&gt;=$F29,BE$7&lt;=$F29+$G29-1),1,""))</f>
        <v/>
      </c>
      <c r="BF22" s="23" t="str">
        <f ca="1">IF(AND($C29="Goal",BF$7&gt;=$F29,BF$7&lt;=$F29+$G29-1),2,IF(AND($C29="Milestone",BF$7&gt;=$F29,BF$7&lt;=$F29+$G29-1),1,""))</f>
        <v/>
      </c>
      <c r="BG22" s="23" t="str">
        <f ca="1">IF(AND($C29="Goal",BG$7&gt;=$F29,BG$7&lt;=$F29+$G29-1),2,IF(AND($C29="Milestone",BG$7&gt;=$F29,BG$7&lt;=$F29+$G29-1),1,""))</f>
        <v/>
      </c>
      <c r="BH22" s="23" t="str">
        <f ca="1">IF(AND($C29="Goal",BH$7&gt;=$F29,BH$7&lt;=$F29+$G29-1),2,IF(AND($C29="Milestone",BH$7&gt;=$F29,BH$7&lt;=$F29+$G29-1),1,""))</f>
        <v/>
      </c>
      <c r="BI22" s="23" t="str">
        <f ca="1">IF(AND($C29="Goal",BI$7&gt;=$F29,BI$7&lt;=$F29+$G29-1),2,IF(AND($C29="Milestone",BI$7&gt;=$F29,BI$7&lt;=$F29+$G29-1),1,""))</f>
        <v/>
      </c>
      <c r="BJ22" s="23" t="str">
        <f ca="1">IF(AND($C29="Goal",BJ$7&gt;=$F29,BJ$7&lt;=$F29+$G29-1),2,IF(AND($C29="Milestone",BJ$7&gt;=$F29,BJ$7&lt;=$F29+$G29-1),1,""))</f>
        <v/>
      </c>
      <c r="BK22" s="23" t="str">
        <f ca="1">IF(AND($C29="Goal",BK$7&gt;=$F29,BK$7&lt;=$F29+$G29-1),2,IF(AND($C29="Milestone",BK$7&gt;=$F29,BK$7&lt;=$F29+$G29-1),1,""))</f>
        <v/>
      </c>
      <c r="BL22" s="23" t="str">
        <f ca="1">IF(AND($C29="Goal",BL$7&gt;=$F29,BL$7&lt;=$F29+$G29-1),2,IF(AND($C29="Milestone",BL$7&gt;=$F29,BL$7&lt;=$F29+$G29-1),1,""))</f>
        <v/>
      </c>
      <c r="BM22" s="24"/>
    </row>
    <row r="23" spans="1:65" s="1" customFormat="1" ht="40.15" customHeight="1" x14ac:dyDescent="0.25">
      <c r="A23" s="9"/>
      <c r="B23" s="133" t="s">
        <v>53</v>
      </c>
      <c r="C23" s="21" t="s">
        <v>13</v>
      </c>
      <c r="D23" s="21" t="s">
        <v>40</v>
      </c>
      <c r="E23" s="138">
        <v>1</v>
      </c>
      <c r="F23" s="139">
        <v>46092</v>
      </c>
      <c r="G23" s="140">
        <v>7</v>
      </c>
      <c r="H23" s="19"/>
      <c r="I23" s="43" t="str">
        <f ca="1">IF(AND($C30="Goal",I$7&gt;=$F30,I$7&lt;=$F30+$G30-1),2,IF(AND($C30="Milestone",I$7&gt;=$F30,I$7&lt;=$F30+$G30-1),1,""))</f>
        <v/>
      </c>
      <c r="J23" s="23" t="str">
        <f ca="1">IF(AND($C30="Goal",J$7&gt;=$F30,J$7&lt;=$F30+$G30-1),2,IF(AND($C30="Milestone",J$7&gt;=$F30,J$7&lt;=$F30+$G30-1),1,""))</f>
        <v/>
      </c>
      <c r="K23" s="23" t="str">
        <f ca="1">IF(AND($C30="Goal",K$7&gt;=$F30,K$7&lt;=$F30+$G30-1),2,IF(AND($C30="Milestone",K$7&gt;=$F30,K$7&lt;=$F30+$G30-1),1,""))</f>
        <v/>
      </c>
      <c r="L23" s="23" t="str">
        <f ca="1">IF(AND($C30="Goal",L$7&gt;=$F30,L$7&lt;=$F30+$G30-1),2,IF(AND($C30="Milestone",L$7&gt;=$F30,L$7&lt;=$F30+$G30-1),1,""))</f>
        <v/>
      </c>
      <c r="M23" s="23" t="str">
        <f ca="1">IF(AND($C30="Goal",M$7&gt;=$F30,M$7&lt;=$F30+$G30-1),2,IF(AND($C30="Milestone",M$7&gt;=$F30,M$7&lt;=$F30+$G30-1),1,""))</f>
        <v/>
      </c>
      <c r="N23" s="23" t="str">
        <f ca="1">IF(AND($C30="Goal",N$7&gt;=$F30,N$7&lt;=$F30+$G30-1),2,IF(AND($C30="Milestone",N$7&gt;=$F30,N$7&lt;=$F30+$G30-1),1,""))</f>
        <v/>
      </c>
      <c r="O23" s="23" t="str">
        <f ca="1">IF(AND($C30="Goal",O$7&gt;=$F30,O$7&lt;=$F30+$G30-1),2,IF(AND($C30="Milestone",O$7&gt;=$F30,O$7&lt;=$F30+$G30-1),1,""))</f>
        <v/>
      </c>
      <c r="P23" s="23" t="str">
        <f ca="1">IF(AND($C30="Goal",P$7&gt;=$F30,P$7&lt;=$F30+$G30-1),2,IF(AND($C30="Milestone",P$7&gt;=$F30,P$7&lt;=$F30+$G30-1),1,""))</f>
        <v/>
      </c>
      <c r="Q23" s="23" t="str">
        <f ca="1">IF(AND($C30="Goal",Q$7&gt;=$F30,Q$7&lt;=$F30+$G30-1),2,IF(AND($C30="Milestone",Q$7&gt;=$F30,Q$7&lt;=$F30+$G30-1),1,""))</f>
        <v/>
      </c>
      <c r="R23" s="23" t="str">
        <f ca="1">IF(AND($C30="Goal",R$7&gt;=$F30,R$7&lt;=$F30+$G30-1),2,IF(AND($C30="Milestone",R$7&gt;=$F30,R$7&lt;=$F30+$G30-1),1,""))</f>
        <v/>
      </c>
      <c r="S23" s="23" t="str">
        <f ca="1">IF(AND($C30="Goal",S$7&gt;=$F30,S$7&lt;=$F30+$G30-1),2,IF(AND($C30="Milestone",S$7&gt;=$F30,S$7&lt;=$F30+$G30-1),1,""))</f>
        <v/>
      </c>
      <c r="T23" s="23" t="str">
        <f ca="1">IF(AND($C30="Goal",T$7&gt;=$F30,T$7&lt;=$F30+$G30-1),2,IF(AND($C30="Milestone",T$7&gt;=$F30,T$7&lt;=$F30+$G30-1),1,""))</f>
        <v/>
      </c>
      <c r="U23" s="23" t="str">
        <f ca="1">IF(AND($C30="Goal",U$7&gt;=$F30,U$7&lt;=$F30+$G30-1),2,IF(AND($C30="Milestone",U$7&gt;=$F30,U$7&lt;=$F30+$G30-1),1,""))</f>
        <v/>
      </c>
      <c r="V23" s="23" t="str">
        <f ca="1">IF(AND($C30="Goal",V$7&gt;=$F30,V$7&lt;=$F30+$G30-1),2,IF(AND($C30="Milestone",V$7&gt;=$F30,V$7&lt;=$F30+$G30-1),1,""))</f>
        <v/>
      </c>
      <c r="W23" s="23" t="str">
        <f ca="1">IF(AND($C30="Goal",W$7&gt;=$F30,W$7&lt;=$F30+$G30-1),2,IF(AND($C30="Milestone",W$7&gt;=$F30,W$7&lt;=$F30+$G30-1),1,""))</f>
        <v/>
      </c>
      <c r="X23" s="23" t="str">
        <f ca="1">IF(AND($C30="Goal",X$7&gt;=$F30,X$7&lt;=$F30+$G30-1),2,IF(AND($C30="Milestone",X$7&gt;=$F30,X$7&lt;=$F30+$G30-1),1,""))</f>
        <v/>
      </c>
      <c r="Y23" s="23" t="str">
        <f ca="1">IF(AND($C30="Goal",Y$7&gt;=$F30,Y$7&lt;=$F30+$G30-1),2,IF(AND($C30="Milestone",Y$7&gt;=$F30,Y$7&lt;=$F30+$G30-1),1,""))</f>
        <v/>
      </c>
      <c r="Z23" s="23" t="str">
        <f ca="1">IF(AND($C30="Goal",Z$7&gt;=$F30,Z$7&lt;=$F30+$G30-1),2,IF(AND($C30="Milestone",Z$7&gt;=$F30,Z$7&lt;=$F30+$G30-1),1,""))</f>
        <v/>
      </c>
      <c r="AA23" s="23" t="str">
        <f ca="1">IF(AND($C30="Goal",AA$7&gt;=$F30,AA$7&lt;=$F30+$G30-1),2,IF(AND($C30="Milestone",AA$7&gt;=$F30,AA$7&lt;=$F30+$G30-1),1,""))</f>
        <v/>
      </c>
      <c r="AB23" s="23" t="str">
        <f ca="1">IF(AND($C30="Goal",AB$7&gt;=$F30,AB$7&lt;=$F30+$G30-1),2,IF(AND($C30="Milestone",AB$7&gt;=$F30,AB$7&lt;=$F30+$G30-1),1,""))</f>
        <v/>
      </c>
      <c r="AC23" s="23" t="str">
        <f ca="1">IF(AND($C30="Goal",AC$7&gt;=$F30,AC$7&lt;=$F30+$G30-1),2,IF(AND($C30="Milestone",AC$7&gt;=$F30,AC$7&lt;=$F30+$G30-1),1,""))</f>
        <v/>
      </c>
      <c r="AD23" s="23" t="str">
        <f ca="1">IF(AND($C30="Goal",AD$7&gt;=$F30,AD$7&lt;=$F30+$G30-1),2,IF(AND($C30="Milestone",AD$7&gt;=$F30,AD$7&lt;=$F30+$G30-1),1,""))</f>
        <v/>
      </c>
      <c r="AE23" s="23" t="str">
        <f ca="1">IF(AND($C30="Goal",AE$7&gt;=$F30,AE$7&lt;=$F30+$G30-1),2,IF(AND($C30="Milestone",AE$7&gt;=$F30,AE$7&lt;=$F30+$G30-1),1,""))</f>
        <v/>
      </c>
      <c r="AF23" s="23" t="str">
        <f ca="1">IF(AND($C30="Goal",AF$7&gt;=$F30,AF$7&lt;=$F30+$G30-1),2,IF(AND($C30="Milestone",AF$7&gt;=$F30,AF$7&lt;=$F30+$G30-1),1,""))</f>
        <v/>
      </c>
      <c r="AG23" s="23" t="str">
        <f ca="1">IF(AND($C30="Goal",AG$7&gt;=$F30,AG$7&lt;=$F30+$G30-1),2,IF(AND($C30="Milestone",AG$7&gt;=$F30,AG$7&lt;=$F30+$G30-1),1,""))</f>
        <v/>
      </c>
      <c r="AH23" s="23" t="str">
        <f ca="1">IF(AND($C30="Goal",AH$7&gt;=$F30,AH$7&lt;=$F30+$G30-1),2,IF(AND($C30="Milestone",AH$7&gt;=$F30,AH$7&lt;=$F30+$G30-1),1,""))</f>
        <v/>
      </c>
      <c r="AI23" s="23" t="str">
        <f ca="1">IF(AND($C30="Goal",AI$7&gt;=$F30,AI$7&lt;=$F30+$G30-1),2,IF(AND($C30="Milestone",AI$7&gt;=$F30,AI$7&lt;=$F30+$G30-1),1,""))</f>
        <v/>
      </c>
      <c r="AJ23" s="23" t="str">
        <f ca="1">IF(AND($C30="Goal",AJ$7&gt;=$F30,AJ$7&lt;=$F30+$G30-1),2,IF(AND($C30="Milestone",AJ$7&gt;=$F30,AJ$7&lt;=$F30+$G30-1),1,""))</f>
        <v/>
      </c>
      <c r="AK23" s="23" t="str">
        <f ca="1">IF(AND($C30="Goal",AK$7&gt;=$F30,AK$7&lt;=$F30+$G30-1),2,IF(AND($C30="Milestone",AK$7&gt;=$F30,AK$7&lt;=$F30+$G30-1),1,""))</f>
        <v/>
      </c>
      <c r="AL23" s="23" t="str">
        <f ca="1">IF(AND($C30="Goal",AL$7&gt;=$F30,AL$7&lt;=$F30+$G30-1),2,IF(AND($C30="Milestone",AL$7&gt;=$F30,AL$7&lt;=$F30+$G30-1),1,""))</f>
        <v/>
      </c>
      <c r="AM23" s="23" t="str">
        <f ca="1">IF(AND($C30="Goal",AM$7&gt;=$F30,AM$7&lt;=$F30+$G30-1),2,IF(AND($C30="Milestone",AM$7&gt;=$F30,AM$7&lt;=$F30+$G30-1),1,""))</f>
        <v/>
      </c>
      <c r="AN23" s="23" t="str">
        <f ca="1">IF(AND($C30="Goal",AN$7&gt;=$F30,AN$7&lt;=$F30+$G30-1),2,IF(AND($C30="Milestone",AN$7&gt;=$F30,AN$7&lt;=$F30+$G30-1),1,""))</f>
        <v/>
      </c>
      <c r="AO23" s="23" t="str">
        <f ca="1">IF(AND($C30="Goal",AO$7&gt;=$F30,AO$7&lt;=$F30+$G30-1),2,IF(AND($C30="Milestone",AO$7&gt;=$F30,AO$7&lt;=$F30+$G30-1),1,""))</f>
        <v/>
      </c>
      <c r="AP23" s="23" t="str">
        <f ca="1">IF(AND($C30="Goal",AP$7&gt;=$F30,AP$7&lt;=$F30+$G30-1),2,IF(AND($C30="Milestone",AP$7&gt;=$F30,AP$7&lt;=$F30+$G30-1),1,""))</f>
        <v/>
      </c>
      <c r="AQ23" s="23" t="str">
        <f ca="1">IF(AND($C30="Goal",AQ$7&gt;=$F30,AQ$7&lt;=$F30+$G30-1),2,IF(AND($C30="Milestone",AQ$7&gt;=$F30,AQ$7&lt;=$F30+$G30-1),1,""))</f>
        <v/>
      </c>
      <c r="AR23" s="23" t="str">
        <f ca="1">IF(AND($C30="Goal",AR$7&gt;=$F30,AR$7&lt;=$F30+$G30-1),2,IF(AND($C30="Milestone",AR$7&gt;=$F30,AR$7&lt;=$F30+$G30-1),1,""))</f>
        <v/>
      </c>
      <c r="AS23" s="23" t="str">
        <f ca="1">IF(AND($C30="Goal",AS$7&gt;=$F30,AS$7&lt;=$F30+$G30-1),2,IF(AND($C30="Milestone",AS$7&gt;=$F30,AS$7&lt;=$F30+$G30-1),1,""))</f>
        <v/>
      </c>
      <c r="AT23" s="23" t="str">
        <f ca="1">IF(AND($C30="Goal",AT$7&gt;=$F30,AT$7&lt;=$F30+$G30-1),2,IF(AND($C30="Milestone",AT$7&gt;=$F30,AT$7&lt;=$F30+$G30-1),1,""))</f>
        <v/>
      </c>
      <c r="AU23" s="23" t="str">
        <f ca="1">IF(AND($C30="Goal",AU$7&gt;=$F30,AU$7&lt;=$F30+$G30-1),2,IF(AND($C30="Milestone",AU$7&gt;=$F30,AU$7&lt;=$F30+$G30-1),1,""))</f>
        <v/>
      </c>
      <c r="AV23" s="23" t="str">
        <f ca="1">IF(AND($C30="Goal",AV$7&gt;=$F30,AV$7&lt;=$F30+$G30-1),2,IF(AND($C30="Milestone",AV$7&gt;=$F30,AV$7&lt;=$F30+$G30-1),1,""))</f>
        <v/>
      </c>
      <c r="AW23" s="23" t="str">
        <f ca="1">IF(AND($C30="Goal",AW$7&gt;=$F30,AW$7&lt;=$F30+$G30-1),2,IF(AND($C30="Milestone",AW$7&gt;=$F30,AW$7&lt;=$F30+$G30-1),1,""))</f>
        <v/>
      </c>
      <c r="AX23" s="23" t="str">
        <f ca="1">IF(AND($C30="Goal",AX$7&gt;=$F30,AX$7&lt;=$F30+$G30-1),2,IF(AND($C30="Milestone",AX$7&gt;=$F30,AX$7&lt;=$F30+$G30-1),1,""))</f>
        <v/>
      </c>
      <c r="AY23" s="23" t="str">
        <f ca="1">IF(AND($C30="Goal",AY$7&gt;=$F30,AY$7&lt;=$F30+$G30-1),2,IF(AND($C30="Milestone",AY$7&gt;=$F30,AY$7&lt;=$F30+$G30-1),1,""))</f>
        <v/>
      </c>
      <c r="AZ23" s="23" t="str">
        <f ca="1">IF(AND($C30="Goal",AZ$7&gt;=$F30,AZ$7&lt;=$F30+$G30-1),2,IF(AND($C30="Milestone",AZ$7&gt;=$F30,AZ$7&lt;=$F30+$G30-1),1,""))</f>
        <v/>
      </c>
      <c r="BA23" s="23" t="str">
        <f ca="1">IF(AND($C30="Goal",BA$7&gt;=$F30,BA$7&lt;=$F30+$G30-1),2,IF(AND($C30="Milestone",BA$7&gt;=$F30,BA$7&lt;=$F30+$G30-1),1,""))</f>
        <v/>
      </c>
      <c r="BB23" s="23" t="str">
        <f ca="1">IF(AND($C30="Goal",BB$7&gt;=$F30,BB$7&lt;=$F30+$G30-1),2,IF(AND($C30="Milestone",BB$7&gt;=$F30,BB$7&lt;=$F30+$G30-1),1,""))</f>
        <v/>
      </c>
      <c r="BC23" s="23" t="str">
        <f ca="1">IF(AND($C30="Goal",BC$7&gt;=$F30,BC$7&lt;=$F30+$G30-1),2,IF(AND($C30="Milestone",BC$7&gt;=$F30,BC$7&lt;=$F30+$G30-1),1,""))</f>
        <v/>
      </c>
      <c r="BD23" s="23" t="str">
        <f ca="1">IF(AND($C30="Goal",BD$7&gt;=$F30,BD$7&lt;=$F30+$G30-1),2,IF(AND($C30="Milestone",BD$7&gt;=$F30,BD$7&lt;=$F30+$G30-1),1,""))</f>
        <v/>
      </c>
      <c r="BE23" s="23" t="str">
        <f ca="1">IF(AND($C30="Goal",BE$7&gt;=$F30,BE$7&lt;=$F30+$G30-1),2,IF(AND($C30="Milestone",BE$7&gt;=$F30,BE$7&lt;=$F30+$G30-1),1,""))</f>
        <v/>
      </c>
      <c r="BF23" s="23" t="str">
        <f ca="1">IF(AND($C30="Goal",BF$7&gt;=$F30,BF$7&lt;=$F30+$G30-1),2,IF(AND($C30="Milestone",BF$7&gt;=$F30,BF$7&lt;=$F30+$G30-1),1,""))</f>
        <v/>
      </c>
      <c r="BG23" s="23" t="str">
        <f ca="1">IF(AND($C30="Goal",BG$7&gt;=$F30,BG$7&lt;=$F30+$G30-1),2,IF(AND($C30="Milestone",BG$7&gt;=$F30,BG$7&lt;=$F30+$G30-1),1,""))</f>
        <v/>
      </c>
      <c r="BH23" s="23" t="str">
        <f ca="1">IF(AND($C30="Goal",BH$7&gt;=$F30,BH$7&lt;=$F30+$G30-1),2,IF(AND($C30="Milestone",BH$7&gt;=$F30,BH$7&lt;=$F30+$G30-1),1,""))</f>
        <v/>
      </c>
      <c r="BI23" s="23" t="str">
        <f ca="1">IF(AND($C30="Goal",BI$7&gt;=$F30,BI$7&lt;=$F30+$G30-1),2,IF(AND($C30="Milestone",BI$7&gt;=$F30,BI$7&lt;=$F30+$G30-1),1,""))</f>
        <v/>
      </c>
      <c r="BJ23" s="23" t="str">
        <f ca="1">IF(AND($C30="Goal",BJ$7&gt;=$F30,BJ$7&lt;=$F30+$G30-1),2,IF(AND($C30="Milestone",BJ$7&gt;=$F30,BJ$7&lt;=$F30+$G30-1),1,""))</f>
        <v/>
      </c>
      <c r="BK23" s="23" t="str">
        <f ca="1">IF(AND($C30="Goal",BK$7&gt;=$F30,BK$7&lt;=$F30+$G30-1),2,IF(AND($C30="Milestone",BK$7&gt;=$F30,BK$7&lt;=$F30+$G30-1),1,""))</f>
        <v/>
      </c>
      <c r="BL23" s="23" t="str">
        <f ca="1">IF(AND($C30="Goal",BL$7&gt;=$F30,BL$7&lt;=$F30+$G30-1),2,IF(AND($C30="Milestone",BL$7&gt;=$F30,BL$7&lt;=$F30+$G30-1),1,""))</f>
        <v/>
      </c>
      <c r="BM23" s="24"/>
    </row>
    <row r="24" spans="1:65" s="1" customFormat="1" ht="40.15" customHeight="1" x14ac:dyDescent="0.25">
      <c r="A24" s="9"/>
      <c r="B24" s="133" t="s">
        <v>54</v>
      </c>
      <c r="C24" s="21" t="s">
        <v>13</v>
      </c>
      <c r="D24" s="21" t="s">
        <v>40</v>
      </c>
      <c r="E24" s="138">
        <v>1</v>
      </c>
      <c r="F24" s="139">
        <v>46092</v>
      </c>
      <c r="G24" s="140">
        <v>7</v>
      </c>
      <c r="H24" s="19"/>
      <c r="I24" s="43" t="str">
        <f ca="1">IF(AND($C31="Goal",I$7&gt;=$F31,I$7&lt;=$F31+$G31-1),2,IF(AND($C31="Milestone",I$7&gt;=$F31,I$7&lt;=$F31+$G31-1),1,""))</f>
        <v/>
      </c>
      <c r="J24" s="23" t="str">
        <f ca="1">IF(AND($C31="Goal",J$7&gt;=$F31,J$7&lt;=$F31+$G31-1),2,IF(AND($C31="Milestone",J$7&gt;=$F31,J$7&lt;=$F31+$G31-1),1,""))</f>
        <v/>
      </c>
      <c r="K24" s="23" t="str">
        <f ca="1">IF(AND($C31="Goal",K$7&gt;=$F31,K$7&lt;=$F31+$G31-1),2,IF(AND($C31="Milestone",K$7&gt;=$F31,K$7&lt;=$F31+$G31-1),1,""))</f>
        <v/>
      </c>
      <c r="L24" s="23" t="str">
        <f ca="1">IF(AND($C31="Goal",L$7&gt;=$F31,L$7&lt;=$F31+$G31-1),2,IF(AND($C31="Milestone",L$7&gt;=$F31,L$7&lt;=$F31+$G31-1),1,""))</f>
        <v/>
      </c>
      <c r="M24" s="23" t="str">
        <f ca="1">IF(AND($C31="Goal",M$7&gt;=$F31,M$7&lt;=$F31+$G31-1),2,IF(AND($C31="Milestone",M$7&gt;=$F31,M$7&lt;=$F31+$G31-1),1,""))</f>
        <v/>
      </c>
      <c r="N24" s="23" t="str">
        <f ca="1">IF(AND($C31="Goal",N$7&gt;=$F31,N$7&lt;=$F31+$G31-1),2,IF(AND($C31="Milestone",N$7&gt;=$F31,N$7&lt;=$F31+$G31-1),1,""))</f>
        <v/>
      </c>
      <c r="O24" s="23" t="str">
        <f ca="1">IF(AND($C31="Goal",O$7&gt;=$F31,O$7&lt;=$F31+$G31-1),2,IF(AND($C31="Milestone",O$7&gt;=$F31,O$7&lt;=$F31+$G31-1),1,""))</f>
        <v/>
      </c>
      <c r="P24" s="23" t="str">
        <f ca="1">IF(AND($C31="Goal",P$7&gt;=$F31,P$7&lt;=$F31+$G31-1),2,IF(AND($C31="Milestone",P$7&gt;=$F31,P$7&lt;=$F31+$G31-1),1,""))</f>
        <v/>
      </c>
      <c r="Q24" s="23" t="str">
        <f ca="1">IF(AND($C31="Goal",Q$7&gt;=$F31,Q$7&lt;=$F31+$G31-1),2,IF(AND($C31="Milestone",Q$7&gt;=$F31,Q$7&lt;=$F31+$G31-1),1,""))</f>
        <v/>
      </c>
      <c r="R24" s="23" t="str">
        <f ca="1">IF(AND($C31="Goal",R$7&gt;=$F31,R$7&lt;=$F31+$G31-1),2,IF(AND($C31="Milestone",R$7&gt;=$F31,R$7&lt;=$F31+$G31-1),1,""))</f>
        <v/>
      </c>
      <c r="S24" s="23" t="str">
        <f ca="1">IF(AND($C31="Goal",S$7&gt;=$F31,S$7&lt;=$F31+$G31-1),2,IF(AND($C31="Milestone",S$7&gt;=$F31,S$7&lt;=$F31+$G31-1),1,""))</f>
        <v/>
      </c>
      <c r="T24" s="23" t="str">
        <f ca="1">IF(AND($C31="Goal",T$7&gt;=$F31,T$7&lt;=$F31+$G31-1),2,IF(AND($C31="Milestone",T$7&gt;=$F31,T$7&lt;=$F31+$G31-1),1,""))</f>
        <v/>
      </c>
      <c r="U24" s="23" t="str">
        <f ca="1">IF(AND($C31="Goal",U$7&gt;=$F31,U$7&lt;=$F31+$G31-1),2,IF(AND($C31="Milestone",U$7&gt;=$F31,U$7&lt;=$F31+$G31-1),1,""))</f>
        <v/>
      </c>
      <c r="V24" s="23" t="str">
        <f ca="1">IF(AND($C31="Goal",V$7&gt;=$F31,V$7&lt;=$F31+$G31-1),2,IF(AND($C31="Milestone",V$7&gt;=$F31,V$7&lt;=$F31+$G31-1),1,""))</f>
        <v/>
      </c>
      <c r="W24" s="23" t="str">
        <f ca="1">IF(AND($C31="Goal",W$7&gt;=$F31,W$7&lt;=$F31+$G31-1),2,IF(AND($C31="Milestone",W$7&gt;=$F31,W$7&lt;=$F31+$G31-1),1,""))</f>
        <v/>
      </c>
      <c r="X24" s="23" t="str">
        <f ca="1">IF(AND($C31="Goal",X$7&gt;=$F31,X$7&lt;=$F31+$G31-1),2,IF(AND($C31="Milestone",X$7&gt;=$F31,X$7&lt;=$F31+$G31-1),1,""))</f>
        <v/>
      </c>
      <c r="Y24" s="23" t="str">
        <f ca="1">IF(AND($C31="Goal",Y$7&gt;=$F31,Y$7&lt;=$F31+$G31-1),2,IF(AND($C31="Milestone",Y$7&gt;=$F31,Y$7&lt;=$F31+$G31-1),1,""))</f>
        <v/>
      </c>
      <c r="Z24" s="23" t="str">
        <f ca="1">IF(AND($C31="Goal",Z$7&gt;=$F31,Z$7&lt;=$F31+$G31-1),2,IF(AND($C31="Milestone",Z$7&gt;=$F31,Z$7&lt;=$F31+$G31-1),1,""))</f>
        <v/>
      </c>
      <c r="AA24" s="23" t="str">
        <f ca="1">IF(AND($C31="Goal",AA$7&gt;=$F31,AA$7&lt;=$F31+$G31-1),2,IF(AND($C31="Milestone",AA$7&gt;=$F31,AA$7&lt;=$F31+$G31-1),1,""))</f>
        <v/>
      </c>
      <c r="AB24" s="23" t="str">
        <f ca="1">IF(AND($C31="Goal",AB$7&gt;=$F31,AB$7&lt;=$F31+$G31-1),2,IF(AND($C31="Milestone",AB$7&gt;=$F31,AB$7&lt;=$F31+$G31-1),1,""))</f>
        <v/>
      </c>
      <c r="AC24" s="23" t="str">
        <f ca="1">IF(AND($C31="Goal",AC$7&gt;=$F31,AC$7&lt;=$F31+$G31-1),2,IF(AND($C31="Milestone",AC$7&gt;=$F31,AC$7&lt;=$F31+$G31-1),1,""))</f>
        <v/>
      </c>
      <c r="AD24" s="23" t="str">
        <f ca="1">IF(AND($C31="Goal",AD$7&gt;=$F31,AD$7&lt;=$F31+$G31-1),2,IF(AND($C31="Milestone",AD$7&gt;=$F31,AD$7&lt;=$F31+$G31-1),1,""))</f>
        <v/>
      </c>
      <c r="AE24" s="23" t="str">
        <f ca="1">IF(AND($C31="Goal",AE$7&gt;=$F31,AE$7&lt;=$F31+$G31-1),2,IF(AND($C31="Milestone",AE$7&gt;=$F31,AE$7&lt;=$F31+$G31-1),1,""))</f>
        <v/>
      </c>
      <c r="AF24" s="23" t="str">
        <f ca="1">IF(AND($C31="Goal",AF$7&gt;=$F31,AF$7&lt;=$F31+$G31-1),2,IF(AND($C31="Milestone",AF$7&gt;=$F31,AF$7&lt;=$F31+$G31-1),1,""))</f>
        <v/>
      </c>
      <c r="AG24" s="23" t="str">
        <f ca="1">IF(AND($C31="Goal",AG$7&gt;=$F31,AG$7&lt;=$F31+$G31-1),2,IF(AND($C31="Milestone",AG$7&gt;=$F31,AG$7&lt;=$F31+$G31-1),1,""))</f>
        <v/>
      </c>
      <c r="AH24" s="23" t="str">
        <f ca="1">IF(AND($C31="Goal",AH$7&gt;=$F31,AH$7&lt;=$F31+$G31-1),2,IF(AND($C31="Milestone",AH$7&gt;=$F31,AH$7&lt;=$F31+$G31-1),1,""))</f>
        <v/>
      </c>
      <c r="AI24" s="23" t="str">
        <f ca="1">IF(AND($C31="Goal",AI$7&gt;=$F31,AI$7&lt;=$F31+$G31-1),2,IF(AND($C31="Milestone",AI$7&gt;=$F31,AI$7&lt;=$F31+$G31-1),1,""))</f>
        <v/>
      </c>
      <c r="AJ24" s="23" t="str">
        <f ca="1">IF(AND($C31="Goal",AJ$7&gt;=$F31,AJ$7&lt;=$F31+$G31-1),2,IF(AND($C31="Milestone",AJ$7&gt;=$F31,AJ$7&lt;=$F31+$G31-1),1,""))</f>
        <v/>
      </c>
      <c r="AK24" s="23" t="str">
        <f ca="1">IF(AND($C31="Goal",AK$7&gt;=$F31,AK$7&lt;=$F31+$G31-1),2,IF(AND($C31="Milestone",AK$7&gt;=$F31,AK$7&lt;=$F31+$G31-1),1,""))</f>
        <v/>
      </c>
      <c r="AL24" s="23" t="str">
        <f ca="1">IF(AND($C31="Goal",AL$7&gt;=$F31,AL$7&lt;=$F31+$G31-1),2,IF(AND($C31="Milestone",AL$7&gt;=$F31,AL$7&lt;=$F31+$G31-1),1,""))</f>
        <v/>
      </c>
      <c r="AM24" s="23" t="str">
        <f ca="1">IF(AND($C31="Goal",AM$7&gt;=$F31,AM$7&lt;=$F31+$G31-1),2,IF(AND($C31="Milestone",AM$7&gt;=$F31,AM$7&lt;=$F31+$G31-1),1,""))</f>
        <v/>
      </c>
      <c r="AN24" s="23" t="str">
        <f ca="1">IF(AND($C31="Goal",AN$7&gt;=$F31,AN$7&lt;=$F31+$G31-1),2,IF(AND($C31="Milestone",AN$7&gt;=$F31,AN$7&lt;=$F31+$G31-1),1,""))</f>
        <v/>
      </c>
      <c r="AO24" s="23" t="str">
        <f ca="1">IF(AND($C31="Goal",AO$7&gt;=$F31,AO$7&lt;=$F31+$G31-1),2,IF(AND($C31="Milestone",AO$7&gt;=$F31,AO$7&lt;=$F31+$G31-1),1,""))</f>
        <v/>
      </c>
      <c r="AP24" s="23" t="str">
        <f ca="1">IF(AND($C31="Goal",AP$7&gt;=$F31,AP$7&lt;=$F31+$G31-1),2,IF(AND($C31="Milestone",AP$7&gt;=$F31,AP$7&lt;=$F31+$G31-1),1,""))</f>
        <v/>
      </c>
      <c r="AQ24" s="23" t="str">
        <f ca="1">IF(AND($C31="Goal",AQ$7&gt;=$F31,AQ$7&lt;=$F31+$G31-1),2,IF(AND($C31="Milestone",AQ$7&gt;=$F31,AQ$7&lt;=$F31+$G31-1),1,""))</f>
        <v/>
      </c>
      <c r="AR24" s="23" t="str">
        <f ca="1">IF(AND($C31="Goal",AR$7&gt;=$F31,AR$7&lt;=$F31+$G31-1),2,IF(AND($C31="Milestone",AR$7&gt;=$F31,AR$7&lt;=$F31+$G31-1),1,""))</f>
        <v/>
      </c>
      <c r="AS24" s="23" t="str">
        <f ca="1">IF(AND($C31="Goal",AS$7&gt;=$F31,AS$7&lt;=$F31+$G31-1),2,IF(AND($C31="Milestone",AS$7&gt;=$F31,AS$7&lt;=$F31+$G31-1),1,""))</f>
        <v/>
      </c>
      <c r="AT24" s="23" t="str">
        <f ca="1">IF(AND($C31="Goal",AT$7&gt;=$F31,AT$7&lt;=$F31+$G31-1),2,IF(AND($C31="Milestone",AT$7&gt;=$F31,AT$7&lt;=$F31+$G31-1),1,""))</f>
        <v/>
      </c>
      <c r="AU24" s="23" t="str">
        <f ca="1">IF(AND($C31="Goal",AU$7&gt;=$F31,AU$7&lt;=$F31+$G31-1),2,IF(AND($C31="Milestone",AU$7&gt;=$F31,AU$7&lt;=$F31+$G31-1),1,""))</f>
        <v/>
      </c>
      <c r="AV24" s="23" t="str">
        <f ca="1">IF(AND($C31="Goal",AV$7&gt;=$F31,AV$7&lt;=$F31+$G31-1),2,IF(AND($C31="Milestone",AV$7&gt;=$F31,AV$7&lt;=$F31+$G31-1),1,""))</f>
        <v/>
      </c>
      <c r="AW24" s="23" t="str">
        <f ca="1">IF(AND($C31="Goal",AW$7&gt;=$F31,AW$7&lt;=$F31+$G31-1),2,IF(AND($C31="Milestone",AW$7&gt;=$F31,AW$7&lt;=$F31+$G31-1),1,""))</f>
        <v/>
      </c>
      <c r="AX24" s="23" t="str">
        <f ca="1">IF(AND($C31="Goal",AX$7&gt;=$F31,AX$7&lt;=$F31+$G31-1),2,IF(AND($C31="Milestone",AX$7&gt;=$F31,AX$7&lt;=$F31+$G31-1),1,""))</f>
        <v/>
      </c>
      <c r="AY24" s="23" t="str">
        <f ca="1">IF(AND($C31="Goal",AY$7&gt;=$F31,AY$7&lt;=$F31+$G31-1),2,IF(AND($C31="Milestone",AY$7&gt;=$F31,AY$7&lt;=$F31+$G31-1),1,""))</f>
        <v/>
      </c>
      <c r="AZ24" s="23" t="str">
        <f ca="1">IF(AND($C31="Goal",AZ$7&gt;=$F31,AZ$7&lt;=$F31+$G31-1),2,IF(AND($C31="Milestone",AZ$7&gt;=$F31,AZ$7&lt;=$F31+$G31-1),1,""))</f>
        <v/>
      </c>
      <c r="BA24" s="23" t="str">
        <f ca="1">IF(AND($C31="Goal",BA$7&gt;=$F31,BA$7&lt;=$F31+$G31-1),2,IF(AND($C31="Milestone",BA$7&gt;=$F31,BA$7&lt;=$F31+$G31-1),1,""))</f>
        <v/>
      </c>
      <c r="BB24" s="23" t="str">
        <f ca="1">IF(AND($C31="Goal",BB$7&gt;=$F31,BB$7&lt;=$F31+$G31-1),2,IF(AND($C31="Milestone",BB$7&gt;=$F31,BB$7&lt;=$F31+$G31-1),1,""))</f>
        <v/>
      </c>
      <c r="BC24" s="23" t="str">
        <f ca="1">IF(AND($C31="Goal",BC$7&gt;=$F31,BC$7&lt;=$F31+$G31-1),2,IF(AND($C31="Milestone",BC$7&gt;=$F31,BC$7&lt;=$F31+$G31-1),1,""))</f>
        <v/>
      </c>
      <c r="BD24" s="23" t="str">
        <f ca="1">IF(AND($C31="Goal",BD$7&gt;=$F31,BD$7&lt;=$F31+$G31-1),2,IF(AND($C31="Milestone",BD$7&gt;=$F31,BD$7&lt;=$F31+$G31-1),1,""))</f>
        <v/>
      </c>
      <c r="BE24" s="23" t="str">
        <f ca="1">IF(AND($C31="Goal",BE$7&gt;=$F31,BE$7&lt;=$F31+$G31-1),2,IF(AND($C31="Milestone",BE$7&gt;=$F31,BE$7&lt;=$F31+$G31-1),1,""))</f>
        <v/>
      </c>
      <c r="BF24" s="23" t="str">
        <f ca="1">IF(AND($C31="Goal",BF$7&gt;=$F31,BF$7&lt;=$F31+$G31-1),2,IF(AND($C31="Milestone",BF$7&gt;=$F31,BF$7&lt;=$F31+$G31-1),1,""))</f>
        <v/>
      </c>
      <c r="BG24" s="23" t="str">
        <f ca="1">IF(AND($C31="Goal",BG$7&gt;=$F31,BG$7&lt;=$F31+$G31-1),2,IF(AND($C31="Milestone",BG$7&gt;=$F31,BG$7&lt;=$F31+$G31-1),1,""))</f>
        <v/>
      </c>
      <c r="BH24" s="23" t="str">
        <f ca="1">IF(AND($C31="Goal",BH$7&gt;=$F31,BH$7&lt;=$F31+$G31-1),2,IF(AND($C31="Milestone",BH$7&gt;=$F31,BH$7&lt;=$F31+$G31-1),1,""))</f>
        <v/>
      </c>
      <c r="BI24" s="23" t="str">
        <f ca="1">IF(AND($C31="Goal",BI$7&gt;=$F31,BI$7&lt;=$F31+$G31-1),2,IF(AND($C31="Milestone",BI$7&gt;=$F31,BI$7&lt;=$F31+$G31-1),1,""))</f>
        <v/>
      </c>
      <c r="BJ24" s="23" t="str">
        <f ca="1">IF(AND($C31="Goal",BJ$7&gt;=$F31,BJ$7&lt;=$F31+$G31-1),2,IF(AND($C31="Milestone",BJ$7&gt;=$F31,BJ$7&lt;=$F31+$G31-1),1,""))</f>
        <v/>
      </c>
      <c r="BK24" s="23" t="str">
        <f ca="1">IF(AND($C31="Goal",BK$7&gt;=$F31,BK$7&lt;=$F31+$G31-1),2,IF(AND($C31="Milestone",BK$7&gt;=$F31,BK$7&lt;=$F31+$G31-1),1,""))</f>
        <v/>
      </c>
      <c r="BL24" s="23" t="str">
        <f ca="1">IF(AND($C31="Goal",BL$7&gt;=$F31,BL$7&lt;=$F31+$G31-1),2,IF(AND($C31="Milestone",BL$7&gt;=$F31,BL$7&lt;=$F31+$G31-1),1,""))</f>
        <v/>
      </c>
      <c r="BM24" s="24"/>
    </row>
    <row r="25" spans="1:65" s="1" customFormat="1" ht="40.15" customHeight="1" x14ac:dyDescent="0.25">
      <c r="A25" s="9"/>
      <c r="B25" s="133" t="s">
        <v>3</v>
      </c>
      <c r="C25" s="21" t="s">
        <v>15</v>
      </c>
      <c r="D25" s="21"/>
      <c r="E25" s="138"/>
      <c r="F25" s="139">
        <v>46085</v>
      </c>
      <c r="G25" s="140">
        <v>10</v>
      </c>
      <c r="H25" s="19"/>
      <c r="I25" s="43" t="str">
        <f ca="1">IF(AND($C32="Goal",I$7&gt;=$F32,I$7&lt;=$F32+$G32-1),2,IF(AND($C32="Milestone",I$7&gt;=$F32,I$7&lt;=$F32+$G32-1),1,""))</f>
        <v/>
      </c>
      <c r="J25" s="23" t="str">
        <f ca="1">IF(AND($C32="Goal",J$7&gt;=$F32,J$7&lt;=$F32+$G32-1),2,IF(AND($C32="Milestone",J$7&gt;=$F32,J$7&lt;=$F32+$G32-1),1,""))</f>
        <v/>
      </c>
      <c r="K25" s="23" t="str">
        <f ca="1">IF(AND($C32="Goal",K$7&gt;=$F32,K$7&lt;=$F32+$G32-1),2,IF(AND($C32="Milestone",K$7&gt;=$F32,K$7&lt;=$F32+$G32-1),1,""))</f>
        <v/>
      </c>
      <c r="L25" s="23" t="str">
        <f ca="1">IF(AND($C32="Goal",L$7&gt;=$F32,L$7&lt;=$F32+$G32-1),2,IF(AND($C32="Milestone",L$7&gt;=$F32,L$7&lt;=$F32+$G32-1),1,""))</f>
        <v/>
      </c>
      <c r="M25" s="23" t="str">
        <f ca="1">IF(AND($C32="Goal",M$7&gt;=$F32,M$7&lt;=$F32+$G32-1),2,IF(AND($C32="Milestone",M$7&gt;=$F32,M$7&lt;=$F32+$G32-1),1,""))</f>
        <v/>
      </c>
      <c r="N25" s="23" t="str">
        <f ca="1">IF(AND($C32="Goal",N$7&gt;=$F32,N$7&lt;=$F32+$G32-1),2,IF(AND($C32="Milestone",N$7&gt;=$F32,N$7&lt;=$F32+$G32-1),1,""))</f>
        <v/>
      </c>
      <c r="O25" s="23" t="str">
        <f ca="1">IF(AND($C32="Goal",O$7&gt;=$F32,O$7&lt;=$F32+$G32-1),2,IF(AND($C32="Milestone",O$7&gt;=$F32,O$7&lt;=$F32+$G32-1),1,""))</f>
        <v/>
      </c>
      <c r="P25" s="23" t="str">
        <f ca="1">IF(AND($C32="Goal",P$7&gt;=$F32,P$7&lt;=$F32+$G32-1),2,IF(AND($C32="Milestone",P$7&gt;=$F32,P$7&lt;=$F32+$G32-1),1,""))</f>
        <v/>
      </c>
      <c r="Q25" s="23" t="str">
        <f ca="1">IF(AND($C32="Goal",Q$7&gt;=$F32,Q$7&lt;=$F32+$G32-1),2,IF(AND($C32="Milestone",Q$7&gt;=$F32,Q$7&lt;=$F32+$G32-1),1,""))</f>
        <v/>
      </c>
      <c r="R25" s="23" t="str">
        <f ca="1">IF(AND($C32="Goal",R$7&gt;=$F32,R$7&lt;=$F32+$G32-1),2,IF(AND($C32="Milestone",R$7&gt;=$F32,R$7&lt;=$F32+$G32-1),1,""))</f>
        <v/>
      </c>
      <c r="S25" s="23" t="str">
        <f ca="1">IF(AND($C32="Goal",S$7&gt;=$F32,S$7&lt;=$F32+$G32-1),2,IF(AND($C32="Milestone",S$7&gt;=$F32,S$7&lt;=$F32+$G32-1),1,""))</f>
        <v/>
      </c>
      <c r="T25" s="23" t="str">
        <f ca="1">IF(AND($C32="Goal",T$7&gt;=$F32,T$7&lt;=$F32+$G32-1),2,IF(AND($C32="Milestone",T$7&gt;=$F32,T$7&lt;=$F32+$G32-1),1,""))</f>
        <v/>
      </c>
      <c r="U25" s="23" t="str">
        <f ca="1">IF(AND($C32="Goal",U$7&gt;=$F32,U$7&lt;=$F32+$G32-1),2,IF(AND($C32="Milestone",U$7&gt;=$F32,U$7&lt;=$F32+$G32-1),1,""))</f>
        <v/>
      </c>
      <c r="V25" s="23" t="str">
        <f ca="1">IF(AND($C32="Goal",V$7&gt;=$F32,V$7&lt;=$F32+$G32-1),2,IF(AND($C32="Milestone",V$7&gt;=$F32,V$7&lt;=$F32+$G32-1),1,""))</f>
        <v/>
      </c>
      <c r="W25" s="23" t="str">
        <f ca="1">IF(AND($C32="Goal",W$7&gt;=$F32,W$7&lt;=$F32+$G32-1),2,IF(AND($C32="Milestone",W$7&gt;=$F32,W$7&lt;=$F32+$G32-1),1,""))</f>
        <v/>
      </c>
      <c r="X25" s="23" t="str">
        <f ca="1">IF(AND($C32="Goal",X$7&gt;=$F32,X$7&lt;=$F32+$G32-1),2,IF(AND($C32="Milestone",X$7&gt;=$F32,X$7&lt;=$F32+$G32-1),1,""))</f>
        <v/>
      </c>
      <c r="Y25" s="23" t="str">
        <f ca="1">IF(AND($C32="Goal",Y$7&gt;=$F32,Y$7&lt;=$F32+$G32-1),2,IF(AND($C32="Milestone",Y$7&gt;=$F32,Y$7&lt;=$F32+$G32-1),1,""))</f>
        <v/>
      </c>
      <c r="Z25" s="23" t="str">
        <f ca="1">IF(AND($C32="Goal",Z$7&gt;=$F32,Z$7&lt;=$F32+$G32-1),2,IF(AND($C32="Milestone",Z$7&gt;=$F32,Z$7&lt;=$F32+$G32-1),1,""))</f>
        <v/>
      </c>
      <c r="AA25" s="23" t="str">
        <f ca="1">IF(AND($C32="Goal",AA$7&gt;=$F32,AA$7&lt;=$F32+$G32-1),2,IF(AND($C32="Milestone",AA$7&gt;=$F32,AA$7&lt;=$F32+$G32-1),1,""))</f>
        <v/>
      </c>
      <c r="AB25" s="23" t="str">
        <f ca="1">IF(AND($C32="Goal",AB$7&gt;=$F32,AB$7&lt;=$F32+$G32-1),2,IF(AND($C32="Milestone",AB$7&gt;=$F32,AB$7&lt;=$F32+$G32-1),1,""))</f>
        <v/>
      </c>
      <c r="AC25" s="23" t="str">
        <f ca="1">IF(AND($C32="Goal",AC$7&gt;=$F32,AC$7&lt;=$F32+$G32-1),2,IF(AND($C32="Milestone",AC$7&gt;=$F32,AC$7&lt;=$F32+$G32-1),1,""))</f>
        <v/>
      </c>
      <c r="AD25" s="23" t="str">
        <f ca="1">IF(AND($C32="Goal",AD$7&gt;=$F32,AD$7&lt;=$F32+$G32-1),2,IF(AND($C32="Milestone",AD$7&gt;=$F32,AD$7&lt;=$F32+$G32-1),1,""))</f>
        <v/>
      </c>
      <c r="AE25" s="23" t="str">
        <f ca="1">IF(AND($C32="Goal",AE$7&gt;=$F32,AE$7&lt;=$F32+$G32-1),2,IF(AND($C32="Milestone",AE$7&gt;=$F32,AE$7&lt;=$F32+$G32-1),1,""))</f>
        <v/>
      </c>
      <c r="AF25" s="23" t="str">
        <f ca="1">IF(AND($C32="Goal",AF$7&gt;=$F32,AF$7&lt;=$F32+$G32-1),2,IF(AND($C32="Milestone",AF$7&gt;=$F32,AF$7&lt;=$F32+$G32-1),1,""))</f>
        <v/>
      </c>
      <c r="AG25" s="23" t="str">
        <f ca="1">IF(AND($C32="Goal",AG$7&gt;=$F32,AG$7&lt;=$F32+$G32-1),2,IF(AND($C32="Milestone",AG$7&gt;=$F32,AG$7&lt;=$F32+$G32-1),1,""))</f>
        <v/>
      </c>
      <c r="AH25" s="23" t="str">
        <f ca="1">IF(AND($C32="Goal",AH$7&gt;=$F32,AH$7&lt;=$F32+$G32-1),2,IF(AND($C32="Milestone",AH$7&gt;=$F32,AH$7&lt;=$F32+$G32-1),1,""))</f>
        <v/>
      </c>
      <c r="AI25" s="23" t="str">
        <f ca="1">IF(AND($C32="Goal",AI$7&gt;=$F32,AI$7&lt;=$F32+$G32-1),2,IF(AND($C32="Milestone",AI$7&gt;=$F32,AI$7&lt;=$F32+$G32-1),1,""))</f>
        <v/>
      </c>
      <c r="AJ25" s="23" t="str">
        <f ca="1">IF(AND($C32="Goal",AJ$7&gt;=$F32,AJ$7&lt;=$F32+$G32-1),2,IF(AND($C32="Milestone",AJ$7&gt;=$F32,AJ$7&lt;=$F32+$G32-1),1,""))</f>
        <v/>
      </c>
      <c r="AK25" s="23" t="str">
        <f ca="1">IF(AND($C32="Goal",AK$7&gt;=$F32,AK$7&lt;=$F32+$G32-1),2,IF(AND($C32="Milestone",AK$7&gt;=$F32,AK$7&lt;=$F32+$G32-1),1,""))</f>
        <v/>
      </c>
      <c r="AL25" s="23" t="str">
        <f ca="1">IF(AND($C32="Goal",AL$7&gt;=$F32,AL$7&lt;=$F32+$G32-1),2,IF(AND($C32="Milestone",AL$7&gt;=$F32,AL$7&lt;=$F32+$G32-1),1,""))</f>
        <v/>
      </c>
      <c r="AM25" s="23" t="str">
        <f ca="1">IF(AND($C32="Goal",AM$7&gt;=$F32,AM$7&lt;=$F32+$G32-1),2,IF(AND($C32="Milestone",AM$7&gt;=$F32,AM$7&lt;=$F32+$G32-1),1,""))</f>
        <v/>
      </c>
      <c r="AN25" s="23" t="str">
        <f ca="1">IF(AND($C32="Goal",AN$7&gt;=$F32,AN$7&lt;=$F32+$G32-1),2,IF(AND($C32="Milestone",AN$7&gt;=$F32,AN$7&lt;=$F32+$G32-1),1,""))</f>
        <v/>
      </c>
      <c r="AO25" s="23" t="str">
        <f ca="1">IF(AND($C32="Goal",AO$7&gt;=$F32,AO$7&lt;=$F32+$G32-1),2,IF(AND($C32="Milestone",AO$7&gt;=$F32,AO$7&lt;=$F32+$G32-1),1,""))</f>
        <v/>
      </c>
      <c r="AP25" s="23" t="str">
        <f ca="1">IF(AND($C32="Goal",AP$7&gt;=$F32,AP$7&lt;=$F32+$G32-1),2,IF(AND($C32="Milestone",AP$7&gt;=$F32,AP$7&lt;=$F32+$G32-1),1,""))</f>
        <v/>
      </c>
      <c r="AQ25" s="23" t="str">
        <f ca="1">IF(AND($C32="Goal",AQ$7&gt;=$F32,AQ$7&lt;=$F32+$G32-1),2,IF(AND($C32="Milestone",AQ$7&gt;=$F32,AQ$7&lt;=$F32+$G32-1),1,""))</f>
        <v/>
      </c>
      <c r="AR25" s="23" t="str">
        <f ca="1">IF(AND($C32="Goal",AR$7&gt;=$F32,AR$7&lt;=$F32+$G32-1),2,IF(AND($C32="Milestone",AR$7&gt;=$F32,AR$7&lt;=$F32+$G32-1),1,""))</f>
        <v/>
      </c>
      <c r="AS25" s="23" t="str">
        <f ca="1">IF(AND($C32="Goal",AS$7&gt;=$F32,AS$7&lt;=$F32+$G32-1),2,IF(AND($C32="Milestone",AS$7&gt;=$F32,AS$7&lt;=$F32+$G32-1),1,""))</f>
        <v/>
      </c>
      <c r="AT25" s="23" t="str">
        <f ca="1">IF(AND($C32="Goal",AT$7&gt;=$F32,AT$7&lt;=$F32+$G32-1),2,IF(AND($C32="Milestone",AT$7&gt;=$F32,AT$7&lt;=$F32+$G32-1),1,""))</f>
        <v/>
      </c>
      <c r="AU25" s="23" t="str">
        <f ca="1">IF(AND($C32="Goal",AU$7&gt;=$F32,AU$7&lt;=$F32+$G32-1),2,IF(AND($C32="Milestone",AU$7&gt;=$F32,AU$7&lt;=$F32+$G32-1),1,""))</f>
        <v/>
      </c>
      <c r="AV25" s="23" t="str">
        <f ca="1">IF(AND($C32="Goal",AV$7&gt;=$F32,AV$7&lt;=$F32+$G32-1),2,IF(AND($C32="Milestone",AV$7&gt;=$F32,AV$7&lt;=$F32+$G32-1),1,""))</f>
        <v/>
      </c>
      <c r="AW25" s="23" t="str">
        <f ca="1">IF(AND($C32="Goal",AW$7&gt;=$F32,AW$7&lt;=$F32+$G32-1),2,IF(AND($C32="Milestone",AW$7&gt;=$F32,AW$7&lt;=$F32+$G32-1),1,""))</f>
        <v/>
      </c>
      <c r="AX25" s="23" t="str">
        <f ca="1">IF(AND($C32="Goal",AX$7&gt;=$F32,AX$7&lt;=$F32+$G32-1),2,IF(AND($C32="Milestone",AX$7&gt;=$F32,AX$7&lt;=$F32+$G32-1),1,""))</f>
        <v/>
      </c>
      <c r="AY25" s="23" t="str">
        <f ca="1">IF(AND($C32="Goal",AY$7&gt;=$F32,AY$7&lt;=$F32+$G32-1),2,IF(AND($C32="Milestone",AY$7&gt;=$F32,AY$7&lt;=$F32+$G32-1),1,""))</f>
        <v/>
      </c>
      <c r="AZ25" s="23" t="str">
        <f ca="1">IF(AND($C32="Goal",AZ$7&gt;=$F32,AZ$7&lt;=$F32+$G32-1),2,IF(AND($C32="Milestone",AZ$7&gt;=$F32,AZ$7&lt;=$F32+$G32-1),1,""))</f>
        <v/>
      </c>
      <c r="BA25" s="23" t="str">
        <f ca="1">IF(AND($C32="Goal",BA$7&gt;=$F32,BA$7&lt;=$F32+$G32-1),2,IF(AND($C32="Milestone",BA$7&gt;=$F32,BA$7&lt;=$F32+$G32-1),1,""))</f>
        <v/>
      </c>
      <c r="BB25" s="23" t="str">
        <f ca="1">IF(AND($C32="Goal",BB$7&gt;=$F32,BB$7&lt;=$F32+$G32-1),2,IF(AND($C32="Milestone",BB$7&gt;=$F32,BB$7&lt;=$F32+$G32-1),1,""))</f>
        <v/>
      </c>
      <c r="BC25" s="23" t="str">
        <f ca="1">IF(AND($C32="Goal",BC$7&gt;=$F32,BC$7&lt;=$F32+$G32-1),2,IF(AND($C32="Milestone",BC$7&gt;=$F32,BC$7&lt;=$F32+$G32-1),1,""))</f>
        <v/>
      </c>
      <c r="BD25" s="23" t="str">
        <f ca="1">IF(AND($C32="Goal",BD$7&gt;=$F32,BD$7&lt;=$F32+$G32-1),2,IF(AND($C32="Milestone",BD$7&gt;=$F32,BD$7&lt;=$F32+$G32-1),1,""))</f>
        <v/>
      </c>
      <c r="BE25" s="23" t="str">
        <f ca="1">IF(AND($C32="Goal",BE$7&gt;=$F32,BE$7&lt;=$F32+$G32-1),2,IF(AND($C32="Milestone",BE$7&gt;=$F32,BE$7&lt;=$F32+$G32-1),1,""))</f>
        <v/>
      </c>
      <c r="BF25" s="23" t="str">
        <f ca="1">IF(AND($C32="Goal",BF$7&gt;=$F32,BF$7&lt;=$F32+$G32-1),2,IF(AND($C32="Milestone",BF$7&gt;=$F32,BF$7&lt;=$F32+$G32-1),1,""))</f>
        <v/>
      </c>
      <c r="BG25" s="23" t="str">
        <f ca="1">IF(AND($C32="Goal",BG$7&gt;=$F32,BG$7&lt;=$F32+$G32-1),2,IF(AND($C32="Milestone",BG$7&gt;=$F32,BG$7&lt;=$F32+$G32-1),1,""))</f>
        <v/>
      </c>
      <c r="BH25" s="23" t="str">
        <f ca="1">IF(AND($C32="Goal",BH$7&gt;=$F32,BH$7&lt;=$F32+$G32-1),2,IF(AND($C32="Milestone",BH$7&gt;=$F32,BH$7&lt;=$F32+$G32-1),1,""))</f>
        <v/>
      </c>
      <c r="BI25" s="23" t="str">
        <f ca="1">IF(AND($C32="Goal",BI$7&gt;=$F32,BI$7&lt;=$F32+$G32-1),2,IF(AND($C32="Milestone",BI$7&gt;=$F32,BI$7&lt;=$F32+$G32-1),1,""))</f>
        <v/>
      </c>
      <c r="BJ25" s="23" t="str">
        <f ca="1">IF(AND($C32="Goal",BJ$7&gt;=$F32,BJ$7&lt;=$F32+$G32-1),2,IF(AND($C32="Milestone",BJ$7&gt;=$F32,BJ$7&lt;=$F32+$G32-1),1,""))</f>
        <v/>
      </c>
      <c r="BK25" s="23" t="str">
        <f ca="1">IF(AND($C32="Goal",BK$7&gt;=$F32,BK$7&lt;=$F32+$G32-1),2,IF(AND($C32="Milestone",BK$7&gt;=$F32,BK$7&lt;=$F32+$G32-1),1,""))</f>
        <v/>
      </c>
      <c r="BL25" s="23" t="str">
        <f ca="1">IF(AND($C32="Goal",BL$7&gt;=$F32,BL$7&lt;=$F32+$G32-1),2,IF(AND($C32="Milestone",BL$7&gt;=$F32,BL$7&lt;=$F32+$G32-1),1,""))</f>
        <v/>
      </c>
      <c r="BM25" s="24"/>
    </row>
    <row r="26" spans="1:65" s="1" customFormat="1" ht="40.15" customHeight="1" x14ac:dyDescent="0.25">
      <c r="A26" s="9"/>
      <c r="B26" s="133" t="s">
        <v>4</v>
      </c>
      <c r="C26" s="21" t="s">
        <v>16</v>
      </c>
      <c r="D26" s="21"/>
      <c r="E26" s="138"/>
      <c r="F26" s="139">
        <f>F25+2</f>
        <v>46087</v>
      </c>
      <c r="G26" s="140"/>
      <c r="H26" s="19"/>
      <c r="I26" s="43" t="str">
        <f ca="1">IF(AND($C33="Goal",I$7&gt;=$F33,I$7&lt;=$F33+$G33-1),2,IF(AND($C33="Milestone",I$7&gt;=$F33,I$7&lt;=$F33+$G33-1),1,""))</f>
        <v/>
      </c>
      <c r="J26" s="23" t="str">
        <f ca="1">IF(AND($C33="Goal",J$7&gt;=$F33,J$7&lt;=$F33+$G33-1),2,IF(AND($C33="Milestone",J$7&gt;=$F33,J$7&lt;=$F33+$G33-1),1,""))</f>
        <v/>
      </c>
      <c r="K26" s="23" t="str">
        <f ca="1">IF(AND($C33="Goal",K$7&gt;=$F33,K$7&lt;=$F33+$G33-1),2,IF(AND($C33="Milestone",K$7&gt;=$F33,K$7&lt;=$F33+$G33-1),1,""))</f>
        <v/>
      </c>
      <c r="L26" s="23" t="str">
        <f ca="1">IF(AND($C33="Goal",L$7&gt;=$F33,L$7&lt;=$F33+$G33-1),2,IF(AND($C33="Milestone",L$7&gt;=$F33,L$7&lt;=$F33+$G33-1),1,""))</f>
        <v/>
      </c>
      <c r="M26" s="23" t="str">
        <f ca="1">IF(AND($C33="Goal",M$7&gt;=$F33,M$7&lt;=$F33+$G33-1),2,IF(AND($C33="Milestone",M$7&gt;=$F33,M$7&lt;=$F33+$G33-1),1,""))</f>
        <v/>
      </c>
      <c r="N26" s="23" t="str">
        <f ca="1">IF(AND($C33="Goal",N$7&gt;=$F33,N$7&lt;=$F33+$G33-1),2,IF(AND($C33="Milestone",N$7&gt;=$F33,N$7&lt;=$F33+$G33-1),1,""))</f>
        <v/>
      </c>
      <c r="O26" s="23" t="str">
        <f ca="1">IF(AND($C33="Goal",O$7&gt;=$F33,O$7&lt;=$F33+$G33-1),2,IF(AND($C33="Milestone",O$7&gt;=$F33,O$7&lt;=$F33+$G33-1),1,""))</f>
        <v/>
      </c>
      <c r="P26" s="23" t="str">
        <f ca="1">IF(AND($C33="Goal",P$7&gt;=$F33,P$7&lt;=$F33+$G33-1),2,IF(AND($C33="Milestone",P$7&gt;=$F33,P$7&lt;=$F33+$G33-1),1,""))</f>
        <v/>
      </c>
      <c r="Q26" s="23" t="str">
        <f ca="1">IF(AND($C33="Goal",Q$7&gt;=$F33,Q$7&lt;=$F33+$G33-1),2,IF(AND($C33="Milestone",Q$7&gt;=$F33,Q$7&lt;=$F33+$G33-1),1,""))</f>
        <v/>
      </c>
      <c r="R26" s="23" t="str">
        <f ca="1">IF(AND($C33="Goal",R$7&gt;=$F33,R$7&lt;=$F33+$G33-1),2,IF(AND($C33="Milestone",R$7&gt;=$F33,R$7&lt;=$F33+$G33-1),1,""))</f>
        <v/>
      </c>
      <c r="S26" s="23" t="str">
        <f ca="1">IF(AND($C33="Goal",S$7&gt;=$F33,S$7&lt;=$F33+$G33-1),2,IF(AND($C33="Milestone",S$7&gt;=$F33,S$7&lt;=$F33+$G33-1),1,""))</f>
        <v/>
      </c>
      <c r="T26" s="23" t="str">
        <f ca="1">IF(AND($C33="Goal",T$7&gt;=$F33,T$7&lt;=$F33+$G33-1),2,IF(AND($C33="Milestone",T$7&gt;=$F33,T$7&lt;=$F33+$G33-1),1,""))</f>
        <v/>
      </c>
      <c r="U26" s="23" t="str">
        <f ca="1">IF(AND($C33="Goal",U$7&gt;=$F33,U$7&lt;=$F33+$G33-1),2,IF(AND($C33="Milestone",U$7&gt;=$F33,U$7&lt;=$F33+$G33-1),1,""))</f>
        <v/>
      </c>
      <c r="V26" s="23" t="str">
        <f ca="1">IF(AND($C33="Goal",V$7&gt;=$F33,V$7&lt;=$F33+$G33-1),2,IF(AND($C33="Milestone",V$7&gt;=$F33,V$7&lt;=$F33+$G33-1),1,""))</f>
        <v/>
      </c>
      <c r="W26" s="23" t="str">
        <f ca="1">IF(AND($C33="Goal",W$7&gt;=$F33,W$7&lt;=$F33+$G33-1),2,IF(AND($C33="Milestone",W$7&gt;=$F33,W$7&lt;=$F33+$G33-1),1,""))</f>
        <v/>
      </c>
      <c r="X26" s="23" t="str">
        <f ca="1">IF(AND($C33="Goal",X$7&gt;=$F33,X$7&lt;=$F33+$G33-1),2,IF(AND($C33="Milestone",X$7&gt;=$F33,X$7&lt;=$F33+$G33-1),1,""))</f>
        <v/>
      </c>
      <c r="Y26" s="23" t="str">
        <f ca="1">IF(AND($C33="Goal",Y$7&gt;=$F33,Y$7&lt;=$F33+$G33-1),2,IF(AND($C33="Milestone",Y$7&gt;=$F33,Y$7&lt;=$F33+$G33-1),1,""))</f>
        <v/>
      </c>
      <c r="Z26" s="23" t="str">
        <f ca="1">IF(AND($C33="Goal",Z$7&gt;=$F33,Z$7&lt;=$F33+$G33-1),2,IF(AND($C33="Milestone",Z$7&gt;=$F33,Z$7&lt;=$F33+$G33-1),1,""))</f>
        <v/>
      </c>
      <c r="AA26" s="23" t="str">
        <f ca="1">IF(AND($C33="Goal",AA$7&gt;=$F33,AA$7&lt;=$F33+$G33-1),2,IF(AND($C33="Milestone",AA$7&gt;=$F33,AA$7&lt;=$F33+$G33-1),1,""))</f>
        <v/>
      </c>
      <c r="AB26" s="23" t="str">
        <f ca="1">IF(AND($C33="Goal",AB$7&gt;=$F33,AB$7&lt;=$F33+$G33-1),2,IF(AND($C33="Milestone",AB$7&gt;=$F33,AB$7&lt;=$F33+$G33-1),1,""))</f>
        <v/>
      </c>
      <c r="AC26" s="23" t="str">
        <f ca="1">IF(AND($C33="Goal",AC$7&gt;=$F33,AC$7&lt;=$F33+$G33-1),2,IF(AND($C33="Milestone",AC$7&gt;=$F33,AC$7&lt;=$F33+$G33-1),1,""))</f>
        <v/>
      </c>
      <c r="AD26" s="23" t="str">
        <f ca="1">IF(AND($C33="Goal",AD$7&gt;=$F33,AD$7&lt;=$F33+$G33-1),2,IF(AND($C33="Milestone",AD$7&gt;=$F33,AD$7&lt;=$F33+$G33-1),1,""))</f>
        <v/>
      </c>
      <c r="AE26" s="23" t="str">
        <f ca="1">IF(AND($C33="Goal",AE$7&gt;=$F33,AE$7&lt;=$F33+$G33-1),2,IF(AND($C33="Milestone",AE$7&gt;=$F33,AE$7&lt;=$F33+$G33-1),1,""))</f>
        <v/>
      </c>
      <c r="AF26" s="23" t="str">
        <f ca="1">IF(AND($C33="Goal",AF$7&gt;=$F33,AF$7&lt;=$F33+$G33-1),2,IF(AND($C33="Milestone",AF$7&gt;=$F33,AF$7&lt;=$F33+$G33-1),1,""))</f>
        <v/>
      </c>
      <c r="AG26" s="23" t="str">
        <f ca="1">IF(AND($C33="Goal",AG$7&gt;=$F33,AG$7&lt;=$F33+$G33-1),2,IF(AND($C33="Milestone",AG$7&gt;=$F33,AG$7&lt;=$F33+$G33-1),1,""))</f>
        <v/>
      </c>
      <c r="AH26" s="23" t="str">
        <f ca="1">IF(AND($C33="Goal",AH$7&gt;=$F33,AH$7&lt;=$F33+$G33-1),2,IF(AND($C33="Milestone",AH$7&gt;=$F33,AH$7&lt;=$F33+$G33-1),1,""))</f>
        <v/>
      </c>
      <c r="AI26" s="23" t="str">
        <f ca="1">IF(AND($C33="Goal",AI$7&gt;=$F33,AI$7&lt;=$F33+$G33-1),2,IF(AND($C33="Milestone",AI$7&gt;=$F33,AI$7&lt;=$F33+$G33-1),1,""))</f>
        <v/>
      </c>
      <c r="AJ26" s="23" t="str">
        <f ca="1">IF(AND($C33="Goal",AJ$7&gt;=$F33,AJ$7&lt;=$F33+$G33-1),2,IF(AND($C33="Milestone",AJ$7&gt;=$F33,AJ$7&lt;=$F33+$G33-1),1,""))</f>
        <v/>
      </c>
      <c r="AK26" s="23" t="str">
        <f ca="1">IF(AND($C33="Goal",AK$7&gt;=$F33,AK$7&lt;=$F33+$G33-1),2,IF(AND($C33="Milestone",AK$7&gt;=$F33,AK$7&lt;=$F33+$G33-1),1,""))</f>
        <v/>
      </c>
      <c r="AL26" s="23" t="str">
        <f ca="1">IF(AND($C33="Goal",AL$7&gt;=$F33,AL$7&lt;=$F33+$G33-1),2,IF(AND($C33="Milestone",AL$7&gt;=$F33,AL$7&lt;=$F33+$G33-1),1,""))</f>
        <v/>
      </c>
      <c r="AM26" s="23" t="str">
        <f ca="1">IF(AND($C33="Goal",AM$7&gt;=$F33,AM$7&lt;=$F33+$G33-1),2,IF(AND($C33="Milestone",AM$7&gt;=$F33,AM$7&lt;=$F33+$G33-1),1,""))</f>
        <v/>
      </c>
      <c r="AN26" s="23" t="str">
        <f ca="1">IF(AND($C33="Goal",AN$7&gt;=$F33,AN$7&lt;=$F33+$G33-1),2,IF(AND($C33="Milestone",AN$7&gt;=$F33,AN$7&lt;=$F33+$G33-1),1,""))</f>
        <v/>
      </c>
      <c r="AO26" s="23" t="str">
        <f ca="1">IF(AND($C33="Goal",AO$7&gt;=$F33,AO$7&lt;=$F33+$G33-1),2,IF(AND($C33="Milestone",AO$7&gt;=$F33,AO$7&lt;=$F33+$G33-1),1,""))</f>
        <v/>
      </c>
      <c r="AP26" s="23" t="str">
        <f ca="1">IF(AND($C33="Goal",AP$7&gt;=$F33,AP$7&lt;=$F33+$G33-1),2,IF(AND($C33="Milestone",AP$7&gt;=$F33,AP$7&lt;=$F33+$G33-1),1,""))</f>
        <v/>
      </c>
      <c r="AQ26" s="23" t="str">
        <f ca="1">IF(AND($C33="Goal",AQ$7&gt;=$F33,AQ$7&lt;=$F33+$G33-1),2,IF(AND($C33="Milestone",AQ$7&gt;=$F33,AQ$7&lt;=$F33+$G33-1),1,""))</f>
        <v/>
      </c>
      <c r="AR26" s="23" t="str">
        <f ca="1">IF(AND($C33="Goal",AR$7&gt;=$F33,AR$7&lt;=$F33+$G33-1),2,IF(AND($C33="Milestone",AR$7&gt;=$F33,AR$7&lt;=$F33+$G33-1),1,""))</f>
        <v/>
      </c>
      <c r="AS26" s="23" t="str">
        <f ca="1">IF(AND($C33="Goal",AS$7&gt;=$F33,AS$7&lt;=$F33+$G33-1),2,IF(AND($C33="Milestone",AS$7&gt;=$F33,AS$7&lt;=$F33+$G33-1),1,""))</f>
        <v/>
      </c>
      <c r="AT26" s="23" t="str">
        <f ca="1">IF(AND($C33="Goal",AT$7&gt;=$F33,AT$7&lt;=$F33+$G33-1),2,IF(AND($C33="Milestone",AT$7&gt;=$F33,AT$7&lt;=$F33+$G33-1),1,""))</f>
        <v/>
      </c>
      <c r="AU26" s="23" t="str">
        <f ca="1">IF(AND($C33="Goal",AU$7&gt;=$F33,AU$7&lt;=$F33+$G33-1),2,IF(AND($C33="Milestone",AU$7&gt;=$F33,AU$7&lt;=$F33+$G33-1),1,""))</f>
        <v/>
      </c>
      <c r="AV26" s="23" t="str">
        <f ca="1">IF(AND($C33="Goal",AV$7&gt;=$F33,AV$7&lt;=$F33+$G33-1),2,IF(AND($C33="Milestone",AV$7&gt;=$F33,AV$7&lt;=$F33+$G33-1),1,""))</f>
        <v/>
      </c>
      <c r="AW26" s="23" t="str">
        <f ca="1">IF(AND($C33="Goal",AW$7&gt;=$F33,AW$7&lt;=$F33+$G33-1),2,IF(AND($C33="Milestone",AW$7&gt;=$F33,AW$7&lt;=$F33+$G33-1),1,""))</f>
        <v/>
      </c>
      <c r="AX26" s="23" t="str">
        <f ca="1">IF(AND($C33="Goal",AX$7&gt;=$F33,AX$7&lt;=$F33+$G33-1),2,IF(AND($C33="Milestone",AX$7&gt;=$F33,AX$7&lt;=$F33+$G33-1),1,""))</f>
        <v/>
      </c>
      <c r="AY26" s="23" t="str">
        <f ca="1">IF(AND($C33="Goal",AY$7&gt;=$F33,AY$7&lt;=$F33+$G33-1),2,IF(AND($C33="Milestone",AY$7&gt;=$F33,AY$7&lt;=$F33+$G33-1),1,""))</f>
        <v/>
      </c>
      <c r="AZ26" s="23" t="str">
        <f ca="1">IF(AND($C33="Goal",AZ$7&gt;=$F33,AZ$7&lt;=$F33+$G33-1),2,IF(AND($C33="Milestone",AZ$7&gt;=$F33,AZ$7&lt;=$F33+$G33-1),1,""))</f>
        <v/>
      </c>
      <c r="BA26" s="23" t="str">
        <f ca="1">IF(AND($C33="Goal",BA$7&gt;=$F33,BA$7&lt;=$F33+$G33-1),2,IF(AND($C33="Milestone",BA$7&gt;=$F33,BA$7&lt;=$F33+$G33-1),1,""))</f>
        <v/>
      </c>
      <c r="BB26" s="23" t="str">
        <f ca="1">IF(AND($C33="Goal",BB$7&gt;=$F33,BB$7&lt;=$F33+$G33-1),2,IF(AND($C33="Milestone",BB$7&gt;=$F33,BB$7&lt;=$F33+$G33-1),1,""))</f>
        <v/>
      </c>
      <c r="BC26" s="23" t="str">
        <f ca="1">IF(AND($C33="Goal",BC$7&gt;=$F33,BC$7&lt;=$F33+$G33-1),2,IF(AND($C33="Milestone",BC$7&gt;=$F33,BC$7&lt;=$F33+$G33-1),1,""))</f>
        <v/>
      </c>
      <c r="BD26" s="23" t="str">
        <f ca="1">IF(AND($C33="Goal",BD$7&gt;=$F33,BD$7&lt;=$F33+$G33-1),2,IF(AND($C33="Milestone",BD$7&gt;=$F33,BD$7&lt;=$F33+$G33-1),1,""))</f>
        <v/>
      </c>
      <c r="BE26" s="23" t="str">
        <f ca="1">IF(AND($C33="Goal",BE$7&gt;=$F33,BE$7&lt;=$F33+$G33-1),2,IF(AND($C33="Milestone",BE$7&gt;=$F33,BE$7&lt;=$F33+$G33-1),1,""))</f>
        <v/>
      </c>
      <c r="BF26" s="23" t="str">
        <f ca="1">IF(AND($C33="Goal",BF$7&gt;=$F33,BF$7&lt;=$F33+$G33-1),2,IF(AND($C33="Milestone",BF$7&gt;=$F33,BF$7&lt;=$F33+$G33-1),1,""))</f>
        <v/>
      </c>
      <c r="BG26" s="23" t="str">
        <f ca="1">IF(AND($C33="Goal",BG$7&gt;=$F33,BG$7&lt;=$F33+$G33-1),2,IF(AND($C33="Milestone",BG$7&gt;=$F33,BG$7&lt;=$F33+$G33-1),1,""))</f>
        <v/>
      </c>
      <c r="BH26" s="23" t="str">
        <f ca="1">IF(AND($C33="Goal",BH$7&gt;=$F33,BH$7&lt;=$F33+$G33-1),2,IF(AND($C33="Milestone",BH$7&gt;=$F33,BH$7&lt;=$F33+$G33-1),1,""))</f>
        <v/>
      </c>
      <c r="BI26" s="23" t="str">
        <f ca="1">IF(AND($C33="Goal",BI$7&gt;=$F33,BI$7&lt;=$F33+$G33-1),2,IF(AND($C33="Milestone",BI$7&gt;=$F33,BI$7&lt;=$F33+$G33-1),1,""))</f>
        <v/>
      </c>
      <c r="BJ26" s="23" t="str">
        <f ca="1">IF(AND($C33="Goal",BJ$7&gt;=$F33,BJ$7&lt;=$F33+$G33-1),2,IF(AND($C33="Milestone",BJ$7&gt;=$F33,BJ$7&lt;=$F33+$G33-1),1,""))</f>
        <v/>
      </c>
      <c r="BK26" s="23" t="str">
        <f ca="1">IF(AND($C33="Goal",BK$7&gt;=$F33,BK$7&lt;=$F33+$G33-1),2,IF(AND($C33="Milestone",BK$7&gt;=$F33,BK$7&lt;=$F33+$G33-1),1,""))</f>
        <v/>
      </c>
      <c r="BL26" s="23" t="str">
        <f ca="1">IF(AND($C33="Goal",BL$7&gt;=$F33,BL$7&lt;=$F33+$G33-1),2,IF(AND($C33="Milestone",BL$7&gt;=$F33,BL$7&lt;=$F33+$G33-1),1,""))</f>
        <v/>
      </c>
      <c r="BM26" s="24"/>
    </row>
    <row r="27" spans="1:65" s="1" customFormat="1" ht="40.15" customHeight="1" x14ac:dyDescent="0.25">
      <c r="A27" s="9"/>
      <c r="B27" s="133" t="s">
        <v>0</v>
      </c>
      <c r="C27" s="21" t="s">
        <v>14</v>
      </c>
      <c r="D27" s="21"/>
      <c r="E27" s="138">
        <v>0.33</v>
      </c>
      <c r="F27" s="139">
        <f>F26+5</f>
        <v>46092</v>
      </c>
      <c r="G27" s="140"/>
      <c r="H27" s="19"/>
      <c r="I27" s="43" t="str">
        <f ca="1">IF(AND($C34="Goal",I$7&gt;=$F34,I$7&lt;=$F34+$G34-1),2,IF(AND($C34="Milestone",I$7&gt;=$F34,I$7&lt;=$F34+$G34-1),1,""))</f>
        <v/>
      </c>
      <c r="J27" s="23" t="str">
        <f ca="1">IF(AND($C34="Goal",J$7&gt;=$F34,J$7&lt;=$F34+$G34-1),2,IF(AND($C34="Milestone",J$7&gt;=$F34,J$7&lt;=$F34+$G34-1),1,""))</f>
        <v/>
      </c>
      <c r="K27" s="23" t="str">
        <f ca="1">IF(AND($C34="Goal",K$7&gt;=$F34,K$7&lt;=$F34+$G34-1),2,IF(AND($C34="Milestone",K$7&gt;=$F34,K$7&lt;=$F34+$G34-1),1,""))</f>
        <v/>
      </c>
      <c r="L27" s="23" t="str">
        <f ca="1">IF(AND($C34="Goal",L$7&gt;=$F34,L$7&lt;=$F34+$G34-1),2,IF(AND($C34="Milestone",L$7&gt;=$F34,L$7&lt;=$F34+$G34-1),1,""))</f>
        <v/>
      </c>
      <c r="M27" s="23" t="str">
        <f ca="1">IF(AND($C34="Goal",M$7&gt;=$F34,M$7&lt;=$F34+$G34-1),2,IF(AND($C34="Milestone",M$7&gt;=$F34,M$7&lt;=$F34+$G34-1),1,""))</f>
        <v/>
      </c>
      <c r="N27" s="23" t="str">
        <f ca="1">IF(AND($C34="Goal",N$7&gt;=$F34,N$7&lt;=$F34+$G34-1),2,IF(AND($C34="Milestone",N$7&gt;=$F34,N$7&lt;=$F34+$G34-1),1,""))</f>
        <v/>
      </c>
      <c r="O27" s="23" t="str">
        <f ca="1">IF(AND($C34="Goal",O$7&gt;=$F34,O$7&lt;=$F34+$G34-1),2,IF(AND($C34="Milestone",O$7&gt;=$F34,O$7&lt;=$F34+$G34-1),1,""))</f>
        <v/>
      </c>
      <c r="P27" s="23" t="str">
        <f ca="1">IF(AND($C34="Goal",P$7&gt;=$F34,P$7&lt;=$F34+$G34-1),2,IF(AND($C34="Milestone",P$7&gt;=$F34,P$7&lt;=$F34+$G34-1),1,""))</f>
        <v/>
      </c>
      <c r="Q27" s="23" t="str">
        <f ca="1">IF(AND($C34="Goal",Q$7&gt;=$F34,Q$7&lt;=$F34+$G34-1),2,IF(AND($C34="Milestone",Q$7&gt;=$F34,Q$7&lt;=$F34+$G34-1),1,""))</f>
        <v/>
      </c>
      <c r="R27" s="23" t="str">
        <f ca="1">IF(AND($C34="Goal",R$7&gt;=$F34,R$7&lt;=$F34+$G34-1),2,IF(AND($C34="Milestone",R$7&gt;=$F34,R$7&lt;=$F34+$G34-1),1,""))</f>
        <v/>
      </c>
      <c r="S27" s="23" t="str">
        <f ca="1">IF(AND($C34="Goal",S$7&gt;=$F34,S$7&lt;=$F34+$G34-1),2,IF(AND($C34="Milestone",S$7&gt;=$F34,S$7&lt;=$F34+$G34-1),1,""))</f>
        <v/>
      </c>
      <c r="T27" s="23" t="str">
        <f ca="1">IF(AND($C34="Goal",T$7&gt;=$F34,T$7&lt;=$F34+$G34-1),2,IF(AND($C34="Milestone",T$7&gt;=$F34,T$7&lt;=$F34+$G34-1),1,""))</f>
        <v/>
      </c>
      <c r="U27" s="23" t="str">
        <f ca="1">IF(AND($C34="Goal",U$7&gt;=$F34,U$7&lt;=$F34+$G34-1),2,IF(AND($C34="Milestone",U$7&gt;=$F34,U$7&lt;=$F34+$G34-1),1,""))</f>
        <v/>
      </c>
      <c r="V27" s="23" t="str">
        <f ca="1">IF(AND($C34="Goal",V$7&gt;=$F34,V$7&lt;=$F34+$G34-1),2,IF(AND($C34="Milestone",V$7&gt;=$F34,V$7&lt;=$F34+$G34-1),1,""))</f>
        <v/>
      </c>
      <c r="W27" s="23" t="str">
        <f ca="1">IF(AND($C34="Goal",W$7&gt;=$F34,W$7&lt;=$F34+$G34-1),2,IF(AND($C34="Milestone",W$7&gt;=$F34,W$7&lt;=$F34+$G34-1),1,""))</f>
        <v/>
      </c>
      <c r="X27" s="23" t="str">
        <f ca="1">IF(AND($C34="Goal",X$7&gt;=$F34,X$7&lt;=$F34+$G34-1),2,IF(AND($C34="Milestone",X$7&gt;=$F34,X$7&lt;=$F34+$G34-1),1,""))</f>
        <v/>
      </c>
      <c r="Y27" s="23" t="str">
        <f ca="1">IF(AND($C34="Goal",Y$7&gt;=$F34,Y$7&lt;=$F34+$G34-1),2,IF(AND($C34="Milestone",Y$7&gt;=$F34,Y$7&lt;=$F34+$G34-1),1,""))</f>
        <v/>
      </c>
      <c r="Z27" s="23" t="str">
        <f ca="1">IF(AND($C34="Goal",Z$7&gt;=$F34,Z$7&lt;=$F34+$G34-1),2,IF(AND($C34="Milestone",Z$7&gt;=$F34,Z$7&lt;=$F34+$G34-1),1,""))</f>
        <v/>
      </c>
      <c r="AA27" s="23" t="str">
        <f ca="1">IF(AND($C34="Goal",AA$7&gt;=$F34,AA$7&lt;=$F34+$G34-1),2,IF(AND($C34="Milestone",AA$7&gt;=$F34,AA$7&lt;=$F34+$G34-1),1,""))</f>
        <v/>
      </c>
      <c r="AB27" s="23" t="str">
        <f ca="1">IF(AND($C34="Goal",AB$7&gt;=$F34,AB$7&lt;=$F34+$G34-1),2,IF(AND($C34="Milestone",AB$7&gt;=$F34,AB$7&lt;=$F34+$G34-1),1,""))</f>
        <v/>
      </c>
      <c r="AC27" s="23" t="str">
        <f ca="1">IF(AND($C34="Goal",AC$7&gt;=$F34,AC$7&lt;=$F34+$G34-1),2,IF(AND($C34="Milestone",AC$7&gt;=$F34,AC$7&lt;=$F34+$G34-1),1,""))</f>
        <v/>
      </c>
      <c r="AD27" s="23" t="str">
        <f ca="1">IF(AND($C34="Goal",AD$7&gt;=$F34,AD$7&lt;=$F34+$G34-1),2,IF(AND($C34="Milestone",AD$7&gt;=$F34,AD$7&lt;=$F34+$G34-1),1,""))</f>
        <v/>
      </c>
      <c r="AE27" s="23" t="str">
        <f ca="1">IF(AND($C34="Goal",AE$7&gt;=$F34,AE$7&lt;=$F34+$G34-1),2,IF(AND($C34="Milestone",AE$7&gt;=$F34,AE$7&lt;=$F34+$G34-1),1,""))</f>
        <v/>
      </c>
      <c r="AF27" s="23" t="str">
        <f ca="1">IF(AND($C34="Goal",AF$7&gt;=$F34,AF$7&lt;=$F34+$G34-1),2,IF(AND($C34="Milestone",AF$7&gt;=$F34,AF$7&lt;=$F34+$G34-1),1,""))</f>
        <v/>
      </c>
      <c r="AG27" s="23" t="str">
        <f ca="1">IF(AND($C34="Goal",AG$7&gt;=$F34,AG$7&lt;=$F34+$G34-1),2,IF(AND($C34="Milestone",AG$7&gt;=$F34,AG$7&lt;=$F34+$G34-1),1,""))</f>
        <v/>
      </c>
      <c r="AH27" s="23" t="str">
        <f ca="1">IF(AND($C34="Goal",AH$7&gt;=$F34,AH$7&lt;=$F34+$G34-1),2,IF(AND($C34="Milestone",AH$7&gt;=$F34,AH$7&lt;=$F34+$G34-1),1,""))</f>
        <v/>
      </c>
      <c r="AI27" s="23" t="str">
        <f ca="1">IF(AND($C34="Goal",AI$7&gt;=$F34,AI$7&lt;=$F34+$G34-1),2,IF(AND($C34="Milestone",AI$7&gt;=$F34,AI$7&lt;=$F34+$G34-1),1,""))</f>
        <v/>
      </c>
      <c r="AJ27" s="23" t="str">
        <f ca="1">IF(AND($C34="Goal",AJ$7&gt;=$F34,AJ$7&lt;=$F34+$G34-1),2,IF(AND($C34="Milestone",AJ$7&gt;=$F34,AJ$7&lt;=$F34+$G34-1),1,""))</f>
        <v/>
      </c>
      <c r="AK27" s="23" t="str">
        <f ca="1">IF(AND($C34="Goal",AK$7&gt;=$F34,AK$7&lt;=$F34+$G34-1),2,IF(AND($C34="Milestone",AK$7&gt;=$F34,AK$7&lt;=$F34+$G34-1),1,""))</f>
        <v/>
      </c>
      <c r="AL27" s="23" t="str">
        <f ca="1">IF(AND($C34="Goal",AL$7&gt;=$F34,AL$7&lt;=$F34+$G34-1),2,IF(AND($C34="Milestone",AL$7&gt;=$F34,AL$7&lt;=$F34+$G34-1),1,""))</f>
        <v/>
      </c>
      <c r="AM27" s="23" t="str">
        <f ca="1">IF(AND($C34="Goal",AM$7&gt;=$F34,AM$7&lt;=$F34+$G34-1),2,IF(AND($C34="Milestone",AM$7&gt;=$F34,AM$7&lt;=$F34+$G34-1),1,""))</f>
        <v/>
      </c>
      <c r="AN27" s="23" t="str">
        <f ca="1">IF(AND($C34="Goal",AN$7&gt;=$F34,AN$7&lt;=$F34+$G34-1),2,IF(AND($C34="Milestone",AN$7&gt;=$F34,AN$7&lt;=$F34+$G34-1),1,""))</f>
        <v/>
      </c>
      <c r="AO27" s="23" t="str">
        <f ca="1">IF(AND($C34="Goal",AO$7&gt;=$F34,AO$7&lt;=$F34+$G34-1),2,IF(AND($C34="Milestone",AO$7&gt;=$F34,AO$7&lt;=$F34+$G34-1),1,""))</f>
        <v/>
      </c>
      <c r="AP27" s="23" t="str">
        <f ca="1">IF(AND($C34="Goal",AP$7&gt;=$F34,AP$7&lt;=$F34+$G34-1),2,IF(AND($C34="Milestone",AP$7&gt;=$F34,AP$7&lt;=$F34+$G34-1),1,""))</f>
        <v/>
      </c>
      <c r="AQ27" s="23" t="str">
        <f ca="1">IF(AND($C34="Goal",AQ$7&gt;=$F34,AQ$7&lt;=$F34+$G34-1),2,IF(AND($C34="Milestone",AQ$7&gt;=$F34,AQ$7&lt;=$F34+$G34-1),1,""))</f>
        <v/>
      </c>
      <c r="AR27" s="23" t="str">
        <f ca="1">IF(AND($C34="Goal",AR$7&gt;=$F34,AR$7&lt;=$F34+$G34-1),2,IF(AND($C34="Milestone",AR$7&gt;=$F34,AR$7&lt;=$F34+$G34-1),1,""))</f>
        <v/>
      </c>
      <c r="AS27" s="23" t="str">
        <f ca="1">IF(AND($C34="Goal",AS$7&gt;=$F34,AS$7&lt;=$F34+$G34-1),2,IF(AND($C34="Milestone",AS$7&gt;=$F34,AS$7&lt;=$F34+$G34-1),1,""))</f>
        <v/>
      </c>
      <c r="AT27" s="23" t="str">
        <f ca="1">IF(AND($C34="Goal",AT$7&gt;=$F34,AT$7&lt;=$F34+$G34-1),2,IF(AND($C34="Milestone",AT$7&gt;=$F34,AT$7&lt;=$F34+$G34-1),1,""))</f>
        <v/>
      </c>
      <c r="AU27" s="23">
        <f ca="1">IF(AND($C34="Goal",AU$7&gt;=$F34,AU$7&lt;=$F34+$G34-1),2,IF(AND($C34="Milestone",AU$7&gt;=$F34,AU$7&lt;=$F34+$G34-1),1,""))</f>
        <v>2</v>
      </c>
      <c r="AV27" s="23">
        <f ca="1">IF(AND($C34="Goal",AV$7&gt;=$F34,AV$7&lt;=$F34+$G34-1),2,IF(AND($C34="Milestone",AV$7&gt;=$F34,AV$7&lt;=$F34+$G34-1),1,""))</f>
        <v>2</v>
      </c>
      <c r="AW27" s="23">
        <f ca="1">IF(AND($C34="Goal",AW$7&gt;=$F34,AW$7&lt;=$F34+$G34-1),2,IF(AND($C34="Milestone",AW$7&gt;=$F34,AW$7&lt;=$F34+$G34-1),1,""))</f>
        <v>2</v>
      </c>
      <c r="AX27" s="23" t="str">
        <f ca="1">IF(AND($C34="Goal",AX$7&gt;=$F34,AX$7&lt;=$F34+$G34-1),2,IF(AND($C34="Milestone",AX$7&gt;=$F34,AX$7&lt;=$F34+$G34-1),1,""))</f>
        <v/>
      </c>
      <c r="AY27" s="23" t="str">
        <f ca="1">IF(AND($C34="Goal",AY$7&gt;=$F34,AY$7&lt;=$F34+$G34-1),2,IF(AND($C34="Milestone",AY$7&gt;=$F34,AY$7&lt;=$F34+$G34-1),1,""))</f>
        <v/>
      </c>
      <c r="AZ27" s="23" t="str">
        <f ca="1">IF(AND($C34="Goal",AZ$7&gt;=$F34,AZ$7&lt;=$F34+$G34-1),2,IF(AND($C34="Milestone",AZ$7&gt;=$F34,AZ$7&lt;=$F34+$G34-1),1,""))</f>
        <v/>
      </c>
      <c r="BA27" s="23" t="str">
        <f ca="1">IF(AND($C34="Goal",BA$7&gt;=$F34,BA$7&lt;=$F34+$G34-1),2,IF(AND($C34="Milestone",BA$7&gt;=$F34,BA$7&lt;=$F34+$G34-1),1,""))</f>
        <v/>
      </c>
      <c r="BB27" s="23" t="str">
        <f ca="1">IF(AND($C34="Goal",BB$7&gt;=$F34,BB$7&lt;=$F34+$G34-1),2,IF(AND($C34="Milestone",BB$7&gt;=$F34,BB$7&lt;=$F34+$G34-1),1,""))</f>
        <v/>
      </c>
      <c r="BC27" s="23" t="str">
        <f ca="1">IF(AND($C34="Goal",BC$7&gt;=$F34,BC$7&lt;=$F34+$G34-1),2,IF(AND($C34="Milestone",BC$7&gt;=$F34,BC$7&lt;=$F34+$G34-1),1,""))</f>
        <v/>
      </c>
      <c r="BD27" s="23" t="str">
        <f ca="1">IF(AND($C34="Goal",BD$7&gt;=$F34,BD$7&lt;=$F34+$G34-1),2,IF(AND($C34="Milestone",BD$7&gt;=$F34,BD$7&lt;=$F34+$G34-1),1,""))</f>
        <v/>
      </c>
      <c r="BE27" s="23" t="str">
        <f ca="1">IF(AND($C34="Goal",BE$7&gt;=$F34,BE$7&lt;=$F34+$G34-1),2,IF(AND($C34="Milestone",BE$7&gt;=$F34,BE$7&lt;=$F34+$G34-1),1,""))</f>
        <v/>
      </c>
      <c r="BF27" s="23" t="str">
        <f ca="1">IF(AND($C34="Goal",BF$7&gt;=$F34,BF$7&lt;=$F34+$G34-1),2,IF(AND($C34="Milestone",BF$7&gt;=$F34,BF$7&lt;=$F34+$G34-1),1,""))</f>
        <v/>
      </c>
      <c r="BG27" s="23" t="str">
        <f ca="1">IF(AND($C34="Goal",BG$7&gt;=$F34,BG$7&lt;=$F34+$G34-1),2,IF(AND($C34="Milestone",BG$7&gt;=$F34,BG$7&lt;=$F34+$G34-1),1,""))</f>
        <v/>
      </c>
      <c r="BH27" s="23" t="str">
        <f ca="1">IF(AND($C34="Goal",BH$7&gt;=$F34,BH$7&lt;=$F34+$G34-1),2,IF(AND($C34="Milestone",BH$7&gt;=$F34,BH$7&lt;=$F34+$G34-1),1,""))</f>
        <v/>
      </c>
      <c r="BI27" s="23" t="str">
        <f ca="1">IF(AND($C34="Goal",BI$7&gt;=$F34,BI$7&lt;=$F34+$G34-1),2,IF(AND($C34="Milestone",BI$7&gt;=$F34,BI$7&lt;=$F34+$G34-1),1,""))</f>
        <v/>
      </c>
      <c r="BJ27" s="23" t="str">
        <f ca="1">IF(AND($C34="Goal",BJ$7&gt;=$F34,BJ$7&lt;=$F34+$G34-1),2,IF(AND($C34="Milestone",BJ$7&gt;=$F34,BJ$7&lt;=$F34+$G34-1),1,""))</f>
        <v/>
      </c>
      <c r="BK27" s="23" t="str">
        <f ca="1">IF(AND($C34="Goal",BK$7&gt;=$F34,BK$7&lt;=$F34+$G34-1),2,IF(AND($C34="Milestone",BK$7&gt;=$F34,BK$7&lt;=$F34+$G34-1),1,""))</f>
        <v/>
      </c>
      <c r="BL27" s="23" t="str">
        <f ca="1">IF(AND($C34="Goal",BL$7&gt;=$F34,BL$7&lt;=$F34+$G34-1),2,IF(AND($C34="Milestone",BL$7&gt;=$F34,BL$7&lt;=$F34+$G34-1),1,""))</f>
        <v/>
      </c>
      <c r="BM27" s="24"/>
    </row>
    <row r="28" spans="1:65" s="1" customFormat="1" ht="40.15" customHeight="1" x14ac:dyDescent="0.25">
      <c r="A28" s="9"/>
      <c r="B28" s="133" t="s">
        <v>1</v>
      </c>
      <c r="C28" s="21" t="s">
        <v>9</v>
      </c>
      <c r="D28" s="21"/>
      <c r="E28" s="138"/>
      <c r="F28" s="139">
        <f>F27+2</f>
        <v>46094</v>
      </c>
      <c r="G28" s="140">
        <v>1</v>
      </c>
      <c r="H28" s="19"/>
      <c r="I28" s="43" t="str">
        <f ca="1">IF(AND($C35="Goal",I$7&gt;=$F35,I$7&lt;=$F35+$G35-1),2,IF(AND($C35="Milestone",I$7&gt;=$F35,I$7&lt;=$F35+$G35-1),1,""))</f>
        <v/>
      </c>
      <c r="J28" s="23" t="str">
        <f ca="1">IF(AND($C35="Goal",J$7&gt;=$F35,J$7&lt;=$F35+$G35-1),2,IF(AND($C35="Milestone",J$7&gt;=$F35,J$7&lt;=$F35+$G35-1),1,""))</f>
        <v/>
      </c>
      <c r="K28" s="23" t="str">
        <f ca="1">IF(AND($C35="Goal",K$7&gt;=$F35,K$7&lt;=$F35+$G35-1),2,IF(AND($C35="Milestone",K$7&gt;=$F35,K$7&lt;=$F35+$G35-1),1,""))</f>
        <v/>
      </c>
      <c r="L28" s="23" t="str">
        <f ca="1">IF(AND($C35="Goal",L$7&gt;=$F35,L$7&lt;=$F35+$G35-1),2,IF(AND($C35="Milestone",L$7&gt;=$F35,L$7&lt;=$F35+$G35-1),1,""))</f>
        <v/>
      </c>
      <c r="M28" s="23" t="str">
        <f ca="1">IF(AND($C35="Goal",M$7&gt;=$F35,M$7&lt;=$F35+$G35-1),2,IF(AND($C35="Milestone",M$7&gt;=$F35,M$7&lt;=$F35+$G35-1),1,""))</f>
        <v/>
      </c>
      <c r="N28" s="23" t="str">
        <f ca="1">IF(AND($C35="Goal",N$7&gt;=$F35,N$7&lt;=$F35+$G35-1),2,IF(AND($C35="Milestone",N$7&gt;=$F35,N$7&lt;=$F35+$G35-1),1,""))</f>
        <v/>
      </c>
      <c r="O28" s="23" t="str">
        <f ca="1">IF(AND($C35="Goal",O$7&gt;=$F35,O$7&lt;=$F35+$G35-1),2,IF(AND($C35="Milestone",O$7&gt;=$F35,O$7&lt;=$F35+$G35-1),1,""))</f>
        <v/>
      </c>
      <c r="P28" s="23" t="str">
        <f ca="1">IF(AND($C35="Goal",P$7&gt;=$F35,P$7&lt;=$F35+$G35-1),2,IF(AND($C35="Milestone",P$7&gt;=$F35,P$7&lt;=$F35+$G35-1),1,""))</f>
        <v/>
      </c>
      <c r="Q28" s="23" t="str">
        <f ca="1">IF(AND($C35="Goal",Q$7&gt;=$F35,Q$7&lt;=$F35+$G35-1),2,IF(AND($C35="Milestone",Q$7&gt;=$F35,Q$7&lt;=$F35+$G35-1),1,""))</f>
        <v/>
      </c>
      <c r="R28" s="23" t="str">
        <f ca="1">IF(AND($C35="Goal",R$7&gt;=$F35,R$7&lt;=$F35+$G35-1),2,IF(AND($C35="Milestone",R$7&gt;=$F35,R$7&lt;=$F35+$G35-1),1,""))</f>
        <v/>
      </c>
      <c r="S28" s="23" t="str">
        <f ca="1">IF(AND($C35="Goal",S$7&gt;=$F35,S$7&lt;=$F35+$G35-1),2,IF(AND($C35="Milestone",S$7&gt;=$F35,S$7&lt;=$F35+$G35-1),1,""))</f>
        <v/>
      </c>
      <c r="T28" s="23" t="str">
        <f ca="1">IF(AND($C35="Goal",T$7&gt;=$F35,T$7&lt;=$F35+$G35-1),2,IF(AND($C35="Milestone",T$7&gt;=$F35,T$7&lt;=$F35+$G35-1),1,""))</f>
        <v/>
      </c>
      <c r="U28" s="23" t="str">
        <f ca="1">IF(AND($C35="Goal",U$7&gt;=$F35,U$7&lt;=$F35+$G35-1),2,IF(AND($C35="Milestone",U$7&gt;=$F35,U$7&lt;=$F35+$G35-1),1,""))</f>
        <v/>
      </c>
      <c r="V28" s="23" t="str">
        <f ca="1">IF(AND($C35="Goal",V$7&gt;=$F35,V$7&lt;=$F35+$G35-1),2,IF(AND($C35="Milestone",V$7&gt;=$F35,V$7&lt;=$F35+$G35-1),1,""))</f>
        <v/>
      </c>
      <c r="W28" s="23" t="str">
        <f ca="1">IF(AND($C35="Goal",W$7&gt;=$F35,W$7&lt;=$F35+$G35-1),2,IF(AND($C35="Milestone",W$7&gt;=$F35,W$7&lt;=$F35+$G35-1),1,""))</f>
        <v/>
      </c>
      <c r="X28" s="23" t="str">
        <f ca="1">IF(AND($C35="Goal",X$7&gt;=$F35,X$7&lt;=$F35+$G35-1),2,IF(AND($C35="Milestone",X$7&gt;=$F35,X$7&lt;=$F35+$G35-1),1,""))</f>
        <v/>
      </c>
      <c r="Y28" s="23" t="str">
        <f ca="1">IF(AND($C35="Goal",Y$7&gt;=$F35,Y$7&lt;=$F35+$G35-1),2,IF(AND($C35="Milestone",Y$7&gt;=$F35,Y$7&lt;=$F35+$G35-1),1,""))</f>
        <v/>
      </c>
      <c r="Z28" s="23" t="str">
        <f ca="1">IF(AND($C35="Goal",Z$7&gt;=$F35,Z$7&lt;=$F35+$G35-1),2,IF(AND($C35="Milestone",Z$7&gt;=$F35,Z$7&lt;=$F35+$G35-1),1,""))</f>
        <v/>
      </c>
      <c r="AA28" s="23" t="str">
        <f ca="1">IF(AND($C35="Goal",AA$7&gt;=$F35,AA$7&lt;=$F35+$G35-1),2,IF(AND($C35="Milestone",AA$7&gt;=$F35,AA$7&lt;=$F35+$G35-1),1,""))</f>
        <v/>
      </c>
      <c r="AB28" s="23" t="str">
        <f ca="1">IF(AND($C35="Goal",AB$7&gt;=$F35,AB$7&lt;=$F35+$G35-1),2,IF(AND($C35="Milestone",AB$7&gt;=$F35,AB$7&lt;=$F35+$G35-1),1,""))</f>
        <v/>
      </c>
      <c r="AC28" s="23" t="str">
        <f ca="1">IF(AND($C35="Goal",AC$7&gt;=$F35,AC$7&lt;=$F35+$G35-1),2,IF(AND($C35="Milestone",AC$7&gt;=$F35,AC$7&lt;=$F35+$G35-1),1,""))</f>
        <v/>
      </c>
      <c r="AD28" s="23" t="str">
        <f ca="1">IF(AND($C35="Goal",AD$7&gt;=$F35,AD$7&lt;=$F35+$G35-1),2,IF(AND($C35="Milestone",AD$7&gt;=$F35,AD$7&lt;=$F35+$G35-1),1,""))</f>
        <v/>
      </c>
      <c r="AE28" s="23" t="str">
        <f ca="1">IF(AND($C35="Goal",AE$7&gt;=$F35,AE$7&lt;=$F35+$G35-1),2,IF(AND($C35="Milestone",AE$7&gt;=$F35,AE$7&lt;=$F35+$G35-1),1,""))</f>
        <v/>
      </c>
      <c r="AF28" s="23" t="str">
        <f ca="1">IF(AND($C35="Goal",AF$7&gt;=$F35,AF$7&lt;=$F35+$G35-1),2,IF(AND($C35="Milestone",AF$7&gt;=$F35,AF$7&lt;=$F35+$G35-1),1,""))</f>
        <v/>
      </c>
      <c r="AG28" s="23" t="str">
        <f ca="1">IF(AND($C35="Goal",AG$7&gt;=$F35,AG$7&lt;=$F35+$G35-1),2,IF(AND($C35="Milestone",AG$7&gt;=$F35,AG$7&lt;=$F35+$G35-1),1,""))</f>
        <v/>
      </c>
      <c r="AH28" s="23" t="str">
        <f ca="1">IF(AND($C35="Goal",AH$7&gt;=$F35,AH$7&lt;=$F35+$G35-1),2,IF(AND($C35="Milestone",AH$7&gt;=$F35,AH$7&lt;=$F35+$G35-1),1,""))</f>
        <v/>
      </c>
      <c r="AI28" s="23" t="str">
        <f ca="1">IF(AND($C35="Goal",AI$7&gt;=$F35,AI$7&lt;=$F35+$G35-1),2,IF(AND($C35="Milestone",AI$7&gt;=$F35,AI$7&lt;=$F35+$G35-1),1,""))</f>
        <v/>
      </c>
      <c r="AJ28" s="23" t="str">
        <f ca="1">IF(AND($C35="Goal",AJ$7&gt;=$F35,AJ$7&lt;=$F35+$G35-1),2,IF(AND($C35="Milestone",AJ$7&gt;=$F35,AJ$7&lt;=$F35+$G35-1),1,""))</f>
        <v/>
      </c>
      <c r="AK28" s="23" t="str">
        <f ca="1">IF(AND($C35="Goal",AK$7&gt;=$F35,AK$7&lt;=$F35+$G35-1),2,IF(AND($C35="Milestone",AK$7&gt;=$F35,AK$7&lt;=$F35+$G35-1),1,""))</f>
        <v/>
      </c>
      <c r="AL28" s="23" t="str">
        <f ca="1">IF(AND($C35="Goal",AL$7&gt;=$F35,AL$7&lt;=$F35+$G35-1),2,IF(AND($C35="Milestone",AL$7&gt;=$F35,AL$7&lt;=$F35+$G35-1),1,""))</f>
        <v/>
      </c>
      <c r="AM28" s="23" t="str">
        <f ca="1">IF(AND($C35="Goal",AM$7&gt;=$F35,AM$7&lt;=$F35+$G35-1),2,IF(AND($C35="Milestone",AM$7&gt;=$F35,AM$7&lt;=$F35+$G35-1),1,""))</f>
        <v/>
      </c>
      <c r="AN28" s="23" t="str">
        <f ca="1">IF(AND($C35="Goal",AN$7&gt;=$F35,AN$7&lt;=$F35+$G35-1),2,IF(AND($C35="Milestone",AN$7&gt;=$F35,AN$7&lt;=$F35+$G35-1),1,""))</f>
        <v/>
      </c>
      <c r="AO28" s="23" t="str">
        <f ca="1">IF(AND($C35="Goal",AO$7&gt;=$F35,AO$7&lt;=$F35+$G35-1),2,IF(AND($C35="Milestone",AO$7&gt;=$F35,AO$7&lt;=$F35+$G35-1),1,""))</f>
        <v/>
      </c>
      <c r="AP28" s="23" t="str">
        <f ca="1">IF(AND($C35="Goal",AP$7&gt;=$F35,AP$7&lt;=$F35+$G35-1),2,IF(AND($C35="Milestone",AP$7&gt;=$F35,AP$7&lt;=$F35+$G35-1),1,""))</f>
        <v/>
      </c>
      <c r="AQ28" s="23" t="str">
        <f ca="1">IF(AND($C35="Goal",AQ$7&gt;=$F35,AQ$7&lt;=$F35+$G35-1),2,IF(AND($C35="Milestone",AQ$7&gt;=$F35,AQ$7&lt;=$F35+$G35-1),1,""))</f>
        <v/>
      </c>
      <c r="AR28" s="23" t="str">
        <f ca="1">IF(AND($C35="Goal",AR$7&gt;=$F35,AR$7&lt;=$F35+$G35-1),2,IF(AND($C35="Milestone",AR$7&gt;=$F35,AR$7&lt;=$F35+$G35-1),1,""))</f>
        <v/>
      </c>
      <c r="AS28" s="23" t="str">
        <f ca="1">IF(AND($C35="Goal",AS$7&gt;=$F35,AS$7&lt;=$F35+$G35-1),2,IF(AND($C35="Milestone",AS$7&gt;=$F35,AS$7&lt;=$F35+$G35-1),1,""))</f>
        <v/>
      </c>
      <c r="AT28" s="23" t="str">
        <f ca="1">IF(AND($C35="Goal",AT$7&gt;=$F35,AT$7&lt;=$F35+$G35-1),2,IF(AND($C35="Milestone",AT$7&gt;=$F35,AT$7&lt;=$F35+$G35-1),1,""))</f>
        <v/>
      </c>
      <c r="AU28" s="23" t="str">
        <f ca="1">IF(AND($C35="Goal",AU$7&gt;=$F35,AU$7&lt;=$F35+$G35-1),2,IF(AND($C35="Milestone",AU$7&gt;=$F35,AU$7&lt;=$F35+$G35-1),1,""))</f>
        <v/>
      </c>
      <c r="AV28" s="23" t="str">
        <f ca="1">IF(AND($C35="Goal",AV$7&gt;=$F35,AV$7&lt;=$F35+$G35-1),2,IF(AND($C35="Milestone",AV$7&gt;=$F35,AV$7&lt;=$F35+$G35-1),1,""))</f>
        <v/>
      </c>
      <c r="AW28" s="23" t="str">
        <f ca="1">IF(AND($C35="Goal",AW$7&gt;=$F35,AW$7&lt;=$F35+$G35-1),2,IF(AND($C35="Milestone",AW$7&gt;=$F35,AW$7&lt;=$F35+$G35-1),1,""))</f>
        <v/>
      </c>
      <c r="AX28" s="23" t="str">
        <f ca="1">IF(AND($C35="Goal",AX$7&gt;=$F35,AX$7&lt;=$F35+$G35-1),2,IF(AND($C35="Milestone",AX$7&gt;=$F35,AX$7&lt;=$F35+$G35-1),1,""))</f>
        <v/>
      </c>
      <c r="AY28" s="23" t="str">
        <f ca="1">IF(AND($C35="Goal",AY$7&gt;=$F35,AY$7&lt;=$F35+$G35-1),2,IF(AND($C35="Milestone",AY$7&gt;=$F35,AY$7&lt;=$F35+$G35-1),1,""))</f>
        <v/>
      </c>
      <c r="AZ28" s="23" t="str">
        <f ca="1">IF(AND($C35="Goal",AZ$7&gt;=$F35,AZ$7&lt;=$F35+$G35-1),2,IF(AND($C35="Milestone",AZ$7&gt;=$F35,AZ$7&lt;=$F35+$G35-1),1,""))</f>
        <v/>
      </c>
      <c r="BA28" s="23" t="str">
        <f ca="1">IF(AND($C35="Goal",BA$7&gt;=$F35,BA$7&lt;=$F35+$G35-1),2,IF(AND($C35="Milestone",BA$7&gt;=$F35,BA$7&lt;=$F35+$G35-1),1,""))</f>
        <v/>
      </c>
      <c r="BB28" s="23" t="str">
        <f ca="1">IF(AND($C35="Goal",BB$7&gt;=$F35,BB$7&lt;=$F35+$G35-1),2,IF(AND($C35="Milestone",BB$7&gt;=$F35,BB$7&lt;=$F35+$G35-1),1,""))</f>
        <v/>
      </c>
      <c r="BC28" s="23" t="str">
        <f ca="1">IF(AND($C35="Goal",BC$7&gt;=$F35,BC$7&lt;=$F35+$G35-1),2,IF(AND($C35="Milestone",BC$7&gt;=$F35,BC$7&lt;=$F35+$G35-1),1,""))</f>
        <v/>
      </c>
      <c r="BD28" s="23" t="str">
        <f ca="1">IF(AND($C35="Goal",BD$7&gt;=$F35,BD$7&lt;=$F35+$G35-1),2,IF(AND($C35="Milestone",BD$7&gt;=$F35,BD$7&lt;=$F35+$G35-1),1,""))</f>
        <v/>
      </c>
      <c r="BE28" s="23" t="str">
        <f ca="1">IF(AND($C35="Goal",BE$7&gt;=$F35,BE$7&lt;=$F35+$G35-1),2,IF(AND($C35="Milestone",BE$7&gt;=$F35,BE$7&lt;=$F35+$G35-1),1,""))</f>
        <v/>
      </c>
      <c r="BF28" s="23" t="str">
        <f ca="1">IF(AND($C35="Goal",BF$7&gt;=$F35,BF$7&lt;=$F35+$G35-1),2,IF(AND($C35="Milestone",BF$7&gt;=$F35,BF$7&lt;=$F35+$G35-1),1,""))</f>
        <v/>
      </c>
      <c r="BG28" s="23" t="str">
        <f ca="1">IF(AND($C35="Goal",BG$7&gt;=$F35,BG$7&lt;=$F35+$G35-1),2,IF(AND($C35="Milestone",BG$7&gt;=$F35,BG$7&lt;=$F35+$G35-1),1,""))</f>
        <v/>
      </c>
      <c r="BH28" s="23" t="str">
        <f ca="1">IF(AND($C35="Goal",BH$7&gt;=$F35,BH$7&lt;=$F35+$G35-1),2,IF(AND($C35="Milestone",BH$7&gt;=$F35,BH$7&lt;=$F35+$G35-1),1,""))</f>
        <v/>
      </c>
      <c r="BI28" s="23" t="str">
        <f ca="1">IF(AND($C35="Goal",BI$7&gt;=$F35,BI$7&lt;=$F35+$G35-1),2,IF(AND($C35="Milestone",BI$7&gt;=$F35,BI$7&lt;=$F35+$G35-1),1,""))</f>
        <v/>
      </c>
      <c r="BJ28" s="23" t="str">
        <f ca="1">IF(AND($C35="Goal",BJ$7&gt;=$F35,BJ$7&lt;=$F35+$G35-1),2,IF(AND($C35="Milestone",BJ$7&gt;=$F35,BJ$7&lt;=$F35+$G35-1),1,""))</f>
        <v/>
      </c>
      <c r="BK28" s="23" t="str">
        <f ca="1">IF(AND($C35="Goal",BK$7&gt;=$F35,BK$7&lt;=$F35+$G35-1),2,IF(AND($C35="Milestone",BK$7&gt;=$F35,BK$7&lt;=$F35+$G35-1),1,""))</f>
        <v/>
      </c>
      <c r="BL28" s="23" t="str">
        <f ca="1">IF(AND($C35="Goal",BL$7&gt;=$F35,BL$7&lt;=$F35+$G35-1),2,IF(AND($C35="Milestone",BL$7&gt;=$F35,BL$7&lt;=$F35+$G35-1),1,""))</f>
        <v/>
      </c>
      <c r="BM28" s="24"/>
    </row>
    <row r="29" spans="1:65" s="1" customFormat="1" ht="40.15" customHeight="1" x14ac:dyDescent="0.25">
      <c r="A29" s="9"/>
      <c r="B29" s="133" t="s">
        <v>2</v>
      </c>
      <c r="C29" s="21"/>
      <c r="D29" s="21"/>
      <c r="E29" s="138"/>
      <c r="F29" s="139">
        <f>F28+1</f>
        <v>46095</v>
      </c>
      <c r="G29" s="140">
        <v>24</v>
      </c>
      <c r="H29" s="19"/>
      <c r="I29" s="43" t="str">
        <f ca="1">IF(AND($C36="Goal",I$7&gt;=$F36,I$7&lt;=$F36+$G36-1),2,IF(AND($C36="Milestone",I$7&gt;=$F36,I$7&lt;=$F36+$G36-1),1,""))</f>
        <v/>
      </c>
      <c r="J29" s="23" t="str">
        <f ca="1">IF(AND($C36="Goal",J$7&gt;=$F36,J$7&lt;=$F36+$G36-1),2,IF(AND($C36="Milestone",J$7&gt;=$F36,J$7&lt;=$F36+$G36-1),1,""))</f>
        <v/>
      </c>
      <c r="K29" s="23" t="str">
        <f ca="1">IF(AND($C36="Goal",K$7&gt;=$F36,K$7&lt;=$F36+$G36-1),2,IF(AND($C36="Milestone",K$7&gt;=$F36,K$7&lt;=$F36+$G36-1),1,""))</f>
        <v/>
      </c>
      <c r="L29" s="23" t="str">
        <f ca="1">IF(AND($C36="Goal",L$7&gt;=$F36,L$7&lt;=$F36+$G36-1),2,IF(AND($C36="Milestone",L$7&gt;=$F36,L$7&lt;=$F36+$G36-1),1,""))</f>
        <v/>
      </c>
      <c r="M29" s="23" t="str">
        <f ca="1">IF(AND($C36="Goal",M$7&gt;=$F36,M$7&lt;=$F36+$G36-1),2,IF(AND($C36="Milestone",M$7&gt;=$F36,M$7&lt;=$F36+$G36-1),1,""))</f>
        <v/>
      </c>
      <c r="N29" s="23" t="str">
        <f ca="1">IF(AND($C36="Goal",N$7&gt;=$F36,N$7&lt;=$F36+$G36-1),2,IF(AND($C36="Milestone",N$7&gt;=$F36,N$7&lt;=$F36+$G36-1),1,""))</f>
        <v/>
      </c>
      <c r="O29" s="23" t="str">
        <f ca="1">IF(AND($C36="Goal",O$7&gt;=$F36,O$7&lt;=$F36+$G36-1),2,IF(AND($C36="Milestone",O$7&gt;=$F36,O$7&lt;=$F36+$G36-1),1,""))</f>
        <v/>
      </c>
      <c r="P29" s="23" t="str">
        <f ca="1">IF(AND($C36="Goal",P$7&gt;=$F36,P$7&lt;=$F36+$G36-1),2,IF(AND($C36="Milestone",P$7&gt;=$F36,P$7&lt;=$F36+$G36-1),1,""))</f>
        <v/>
      </c>
      <c r="Q29" s="23" t="str">
        <f ca="1">IF(AND($C36="Goal",Q$7&gt;=$F36,Q$7&lt;=$F36+$G36-1),2,IF(AND($C36="Milestone",Q$7&gt;=$F36,Q$7&lt;=$F36+$G36-1),1,""))</f>
        <v/>
      </c>
      <c r="R29" s="23" t="str">
        <f ca="1">IF(AND($C36="Goal",R$7&gt;=$F36,R$7&lt;=$F36+$G36-1),2,IF(AND($C36="Milestone",R$7&gt;=$F36,R$7&lt;=$F36+$G36-1),1,""))</f>
        <v/>
      </c>
      <c r="S29" s="23" t="str">
        <f ca="1">IF(AND($C36="Goal",S$7&gt;=$F36,S$7&lt;=$F36+$G36-1),2,IF(AND($C36="Milestone",S$7&gt;=$F36,S$7&lt;=$F36+$G36-1),1,""))</f>
        <v/>
      </c>
      <c r="T29" s="23" t="str">
        <f ca="1">IF(AND($C36="Goal",T$7&gt;=$F36,T$7&lt;=$F36+$G36-1),2,IF(AND($C36="Milestone",T$7&gt;=$F36,T$7&lt;=$F36+$G36-1),1,""))</f>
        <v/>
      </c>
      <c r="U29" s="23" t="str">
        <f ca="1">IF(AND($C36="Goal",U$7&gt;=$F36,U$7&lt;=$F36+$G36-1),2,IF(AND($C36="Milestone",U$7&gt;=$F36,U$7&lt;=$F36+$G36-1),1,""))</f>
        <v/>
      </c>
      <c r="V29" s="23" t="str">
        <f ca="1">IF(AND($C36="Goal",V$7&gt;=$F36,V$7&lt;=$F36+$G36-1),2,IF(AND($C36="Milestone",V$7&gt;=$F36,V$7&lt;=$F36+$G36-1),1,""))</f>
        <v/>
      </c>
      <c r="W29" s="23" t="str">
        <f ca="1">IF(AND($C36="Goal",W$7&gt;=$F36,W$7&lt;=$F36+$G36-1),2,IF(AND($C36="Milestone",W$7&gt;=$F36,W$7&lt;=$F36+$G36-1),1,""))</f>
        <v/>
      </c>
      <c r="X29" s="23" t="str">
        <f ca="1">IF(AND($C36="Goal",X$7&gt;=$F36,X$7&lt;=$F36+$G36-1),2,IF(AND($C36="Milestone",X$7&gt;=$F36,X$7&lt;=$F36+$G36-1),1,""))</f>
        <v/>
      </c>
      <c r="Y29" s="23" t="str">
        <f ca="1">IF(AND($C36="Goal",Y$7&gt;=$F36,Y$7&lt;=$F36+$G36-1),2,IF(AND($C36="Milestone",Y$7&gt;=$F36,Y$7&lt;=$F36+$G36-1),1,""))</f>
        <v/>
      </c>
      <c r="Z29" s="23" t="str">
        <f ca="1">IF(AND($C36="Goal",Z$7&gt;=$F36,Z$7&lt;=$F36+$G36-1),2,IF(AND($C36="Milestone",Z$7&gt;=$F36,Z$7&lt;=$F36+$G36-1),1,""))</f>
        <v/>
      </c>
      <c r="AA29" s="23" t="str">
        <f ca="1">IF(AND($C36="Goal",AA$7&gt;=$F36,AA$7&lt;=$F36+$G36-1),2,IF(AND($C36="Milestone",AA$7&gt;=$F36,AA$7&lt;=$F36+$G36-1),1,""))</f>
        <v/>
      </c>
      <c r="AB29" s="23" t="str">
        <f ca="1">IF(AND($C36="Goal",AB$7&gt;=$F36,AB$7&lt;=$F36+$G36-1),2,IF(AND($C36="Milestone",AB$7&gt;=$F36,AB$7&lt;=$F36+$G36-1),1,""))</f>
        <v/>
      </c>
      <c r="AC29" s="23" t="str">
        <f ca="1">IF(AND($C36="Goal",AC$7&gt;=$F36,AC$7&lt;=$F36+$G36-1),2,IF(AND($C36="Milestone",AC$7&gt;=$F36,AC$7&lt;=$F36+$G36-1),1,""))</f>
        <v/>
      </c>
      <c r="AD29" s="23" t="str">
        <f ca="1">IF(AND($C36="Goal",AD$7&gt;=$F36,AD$7&lt;=$F36+$G36-1),2,IF(AND($C36="Milestone",AD$7&gt;=$F36,AD$7&lt;=$F36+$G36-1),1,""))</f>
        <v/>
      </c>
      <c r="AE29" s="23" t="str">
        <f ca="1">IF(AND($C36="Goal",AE$7&gt;=$F36,AE$7&lt;=$F36+$G36-1),2,IF(AND($C36="Milestone",AE$7&gt;=$F36,AE$7&lt;=$F36+$G36-1),1,""))</f>
        <v/>
      </c>
      <c r="AF29" s="23" t="str">
        <f ca="1">IF(AND($C36="Goal",AF$7&gt;=$F36,AF$7&lt;=$F36+$G36-1),2,IF(AND($C36="Milestone",AF$7&gt;=$F36,AF$7&lt;=$F36+$G36-1),1,""))</f>
        <v/>
      </c>
      <c r="AG29" s="23" t="str">
        <f ca="1">IF(AND($C36="Goal",AG$7&gt;=$F36,AG$7&lt;=$F36+$G36-1),2,IF(AND($C36="Milestone",AG$7&gt;=$F36,AG$7&lt;=$F36+$G36-1),1,""))</f>
        <v/>
      </c>
      <c r="AH29" s="23" t="str">
        <f ca="1">IF(AND($C36="Goal",AH$7&gt;=$F36,AH$7&lt;=$F36+$G36-1),2,IF(AND($C36="Milestone",AH$7&gt;=$F36,AH$7&lt;=$F36+$G36-1),1,""))</f>
        <v/>
      </c>
      <c r="AI29" s="23" t="str">
        <f ca="1">IF(AND($C36="Goal",AI$7&gt;=$F36,AI$7&lt;=$F36+$G36-1),2,IF(AND($C36="Milestone",AI$7&gt;=$F36,AI$7&lt;=$F36+$G36-1),1,""))</f>
        <v/>
      </c>
      <c r="AJ29" s="23" t="str">
        <f ca="1">IF(AND($C36="Goal",AJ$7&gt;=$F36,AJ$7&lt;=$F36+$G36-1),2,IF(AND($C36="Milestone",AJ$7&gt;=$F36,AJ$7&lt;=$F36+$G36-1),1,""))</f>
        <v/>
      </c>
      <c r="AK29" s="23" t="str">
        <f ca="1">IF(AND($C36="Goal",AK$7&gt;=$F36,AK$7&lt;=$F36+$G36-1),2,IF(AND($C36="Milestone",AK$7&gt;=$F36,AK$7&lt;=$F36+$G36-1),1,""))</f>
        <v/>
      </c>
      <c r="AL29" s="23" t="str">
        <f ca="1">IF(AND($C36="Goal",AL$7&gt;=$F36,AL$7&lt;=$F36+$G36-1),2,IF(AND($C36="Milestone",AL$7&gt;=$F36,AL$7&lt;=$F36+$G36-1),1,""))</f>
        <v/>
      </c>
      <c r="AM29" s="23" t="str">
        <f ca="1">IF(AND($C36="Goal",AM$7&gt;=$F36,AM$7&lt;=$F36+$G36-1),2,IF(AND($C36="Milestone",AM$7&gt;=$F36,AM$7&lt;=$F36+$G36-1),1,""))</f>
        <v/>
      </c>
      <c r="AN29" s="23" t="str">
        <f ca="1">IF(AND($C36="Goal",AN$7&gt;=$F36,AN$7&lt;=$F36+$G36-1),2,IF(AND($C36="Milestone",AN$7&gt;=$F36,AN$7&lt;=$F36+$G36-1),1,""))</f>
        <v/>
      </c>
      <c r="AO29" s="23" t="str">
        <f ca="1">IF(AND($C36="Goal",AO$7&gt;=$F36,AO$7&lt;=$F36+$G36-1),2,IF(AND($C36="Milestone",AO$7&gt;=$F36,AO$7&lt;=$F36+$G36-1),1,""))</f>
        <v/>
      </c>
      <c r="AP29" s="23" t="str">
        <f ca="1">IF(AND($C36="Goal",AP$7&gt;=$F36,AP$7&lt;=$F36+$G36-1),2,IF(AND($C36="Milestone",AP$7&gt;=$F36,AP$7&lt;=$F36+$G36-1),1,""))</f>
        <v/>
      </c>
      <c r="AQ29" s="23" t="str">
        <f ca="1">IF(AND($C36="Goal",AQ$7&gt;=$F36,AQ$7&lt;=$F36+$G36-1),2,IF(AND($C36="Milestone",AQ$7&gt;=$F36,AQ$7&lt;=$F36+$G36-1),1,""))</f>
        <v/>
      </c>
      <c r="AR29" s="23" t="str">
        <f ca="1">IF(AND($C36="Goal",AR$7&gt;=$F36,AR$7&lt;=$F36+$G36-1),2,IF(AND($C36="Milestone",AR$7&gt;=$F36,AR$7&lt;=$F36+$G36-1),1,""))</f>
        <v/>
      </c>
      <c r="AS29" s="23" t="str">
        <f ca="1">IF(AND($C36="Goal",AS$7&gt;=$F36,AS$7&lt;=$F36+$G36-1),2,IF(AND($C36="Milestone",AS$7&gt;=$F36,AS$7&lt;=$F36+$G36-1),1,""))</f>
        <v/>
      </c>
      <c r="AT29" s="23" t="str">
        <f ca="1">IF(AND($C36="Goal",AT$7&gt;=$F36,AT$7&lt;=$F36+$G36-1),2,IF(AND($C36="Milestone",AT$7&gt;=$F36,AT$7&lt;=$F36+$G36-1),1,""))</f>
        <v/>
      </c>
      <c r="AU29" s="23" t="str">
        <f ca="1">IF(AND($C36="Goal",AU$7&gt;=$F36,AU$7&lt;=$F36+$G36-1),2,IF(AND($C36="Milestone",AU$7&gt;=$F36,AU$7&lt;=$F36+$G36-1),1,""))</f>
        <v/>
      </c>
      <c r="AV29" s="23" t="str">
        <f ca="1">IF(AND($C36="Goal",AV$7&gt;=$F36,AV$7&lt;=$F36+$G36-1),2,IF(AND($C36="Milestone",AV$7&gt;=$F36,AV$7&lt;=$F36+$G36-1),1,""))</f>
        <v/>
      </c>
      <c r="AW29" s="23" t="str">
        <f ca="1">IF(AND($C36="Goal",AW$7&gt;=$F36,AW$7&lt;=$F36+$G36-1),2,IF(AND($C36="Milestone",AW$7&gt;=$F36,AW$7&lt;=$F36+$G36-1),1,""))</f>
        <v/>
      </c>
      <c r="AX29" s="23" t="str">
        <f ca="1">IF(AND($C36="Goal",AX$7&gt;=$F36,AX$7&lt;=$F36+$G36-1),2,IF(AND($C36="Milestone",AX$7&gt;=$F36,AX$7&lt;=$F36+$G36-1),1,""))</f>
        <v/>
      </c>
      <c r="AY29" s="23" t="str">
        <f ca="1">IF(AND($C36="Goal",AY$7&gt;=$F36,AY$7&lt;=$F36+$G36-1),2,IF(AND($C36="Milestone",AY$7&gt;=$F36,AY$7&lt;=$F36+$G36-1),1,""))</f>
        <v/>
      </c>
      <c r="AZ29" s="23" t="str">
        <f ca="1">IF(AND($C36="Goal",AZ$7&gt;=$F36,AZ$7&lt;=$F36+$G36-1),2,IF(AND($C36="Milestone",AZ$7&gt;=$F36,AZ$7&lt;=$F36+$G36-1),1,""))</f>
        <v/>
      </c>
      <c r="BA29" s="23" t="str">
        <f ca="1">IF(AND($C36="Goal",BA$7&gt;=$F36,BA$7&lt;=$F36+$G36-1),2,IF(AND($C36="Milestone",BA$7&gt;=$F36,BA$7&lt;=$F36+$G36-1),1,""))</f>
        <v/>
      </c>
      <c r="BB29" s="23" t="str">
        <f ca="1">IF(AND($C36="Goal",BB$7&gt;=$F36,BB$7&lt;=$F36+$G36-1),2,IF(AND($C36="Milestone",BB$7&gt;=$F36,BB$7&lt;=$F36+$G36-1),1,""))</f>
        <v/>
      </c>
      <c r="BC29" s="23" t="str">
        <f ca="1">IF(AND($C36="Goal",BC$7&gt;=$F36,BC$7&lt;=$F36+$G36-1),2,IF(AND($C36="Milestone",BC$7&gt;=$F36,BC$7&lt;=$F36+$G36-1),1,""))</f>
        <v/>
      </c>
      <c r="BD29" s="23" t="str">
        <f ca="1">IF(AND($C36="Goal",BD$7&gt;=$F36,BD$7&lt;=$F36+$G36-1),2,IF(AND($C36="Milestone",BD$7&gt;=$F36,BD$7&lt;=$F36+$G36-1),1,""))</f>
        <v/>
      </c>
      <c r="BE29" s="23" t="str">
        <f ca="1">IF(AND($C36="Goal",BE$7&gt;=$F36,BE$7&lt;=$F36+$G36-1),2,IF(AND($C36="Milestone",BE$7&gt;=$F36,BE$7&lt;=$F36+$G36-1),1,""))</f>
        <v/>
      </c>
      <c r="BF29" s="23" t="str">
        <f ca="1">IF(AND($C36="Goal",BF$7&gt;=$F36,BF$7&lt;=$F36+$G36-1),2,IF(AND($C36="Milestone",BF$7&gt;=$F36,BF$7&lt;=$F36+$G36-1),1,""))</f>
        <v/>
      </c>
      <c r="BG29" s="23" t="str">
        <f ca="1">IF(AND($C36="Goal",BG$7&gt;=$F36,BG$7&lt;=$F36+$G36-1),2,IF(AND($C36="Milestone",BG$7&gt;=$F36,BG$7&lt;=$F36+$G36-1),1,""))</f>
        <v/>
      </c>
      <c r="BH29" s="23" t="str">
        <f ca="1">IF(AND($C36="Goal",BH$7&gt;=$F36,BH$7&lt;=$F36+$G36-1),2,IF(AND($C36="Milestone",BH$7&gt;=$F36,BH$7&lt;=$F36+$G36-1),1,""))</f>
        <v/>
      </c>
      <c r="BI29" s="23" t="str">
        <f ca="1">IF(AND($C36="Goal",BI$7&gt;=$F36,BI$7&lt;=$F36+$G36-1),2,IF(AND($C36="Milestone",BI$7&gt;=$F36,BI$7&lt;=$F36+$G36-1),1,""))</f>
        <v/>
      </c>
      <c r="BJ29" s="23" t="str">
        <f ca="1">IF(AND($C36="Goal",BJ$7&gt;=$F36,BJ$7&lt;=$F36+$G36-1),2,IF(AND($C36="Milestone",BJ$7&gt;=$F36,BJ$7&lt;=$F36+$G36-1),1,""))</f>
        <v/>
      </c>
      <c r="BK29" s="23" t="str">
        <f ca="1">IF(AND($C36="Goal",BK$7&gt;=$F36,BK$7&lt;=$F36+$G36-1),2,IF(AND($C36="Milestone",BK$7&gt;=$F36,BK$7&lt;=$F36+$G36-1),1,""))</f>
        <v/>
      </c>
      <c r="BL29" s="23" t="str">
        <f ca="1">IF(AND($C36="Goal",BL$7&gt;=$F36,BL$7&lt;=$F36+$G36-1),2,IF(AND($C36="Milestone",BL$7&gt;=$F36,BL$7&lt;=$F36+$G36-1),1,""))</f>
        <v/>
      </c>
      <c r="BM29" s="24"/>
    </row>
    <row r="30" spans="1:65" s="1" customFormat="1" ht="40.15" customHeight="1" x14ac:dyDescent="0.25">
      <c r="A30" s="9"/>
      <c r="B30" s="137" t="s">
        <v>31</v>
      </c>
      <c r="C30" s="21"/>
      <c r="D30" s="21"/>
      <c r="E30" s="138"/>
      <c r="F30" s="139"/>
      <c r="G30" s="140"/>
      <c r="H30" s="19"/>
      <c r="I30" s="43" t="str">
        <f ca="1">IF(AND($C37="Goal",I$7&gt;=$F37,I$7&lt;=$F37+$G37-1),2,IF(AND($C37="Milestone",I$7&gt;=$F37,I$7&lt;=$F37+$G37-1),1,""))</f>
        <v/>
      </c>
      <c r="J30" s="23" t="str">
        <f ca="1">IF(AND($C37="Goal",J$7&gt;=$F37,J$7&lt;=$F37+$G37-1),2,IF(AND($C37="Milestone",J$7&gt;=$F37,J$7&lt;=$F37+$G37-1),1,""))</f>
        <v/>
      </c>
      <c r="K30" s="23" t="str">
        <f ca="1">IF(AND($C37="Goal",K$7&gt;=$F37,K$7&lt;=$F37+$G37-1),2,IF(AND($C37="Milestone",K$7&gt;=$F37,K$7&lt;=$F37+$G37-1),1,""))</f>
        <v/>
      </c>
      <c r="L30" s="23" t="str">
        <f ca="1">IF(AND($C37="Goal",L$7&gt;=$F37,L$7&lt;=$F37+$G37-1),2,IF(AND($C37="Milestone",L$7&gt;=$F37,L$7&lt;=$F37+$G37-1),1,""))</f>
        <v/>
      </c>
      <c r="M30" s="23" t="str">
        <f ca="1">IF(AND($C37="Goal",M$7&gt;=$F37,M$7&lt;=$F37+$G37-1),2,IF(AND($C37="Milestone",M$7&gt;=$F37,M$7&lt;=$F37+$G37-1),1,""))</f>
        <v/>
      </c>
      <c r="N30" s="23" t="str">
        <f ca="1">IF(AND($C37="Goal",N$7&gt;=$F37,N$7&lt;=$F37+$G37-1),2,IF(AND($C37="Milestone",N$7&gt;=$F37,N$7&lt;=$F37+$G37-1),1,""))</f>
        <v/>
      </c>
      <c r="O30" s="23" t="str">
        <f ca="1">IF(AND($C37="Goal",O$7&gt;=$F37,O$7&lt;=$F37+$G37-1),2,IF(AND($C37="Milestone",O$7&gt;=$F37,O$7&lt;=$F37+$G37-1),1,""))</f>
        <v/>
      </c>
      <c r="P30" s="23" t="str">
        <f ca="1">IF(AND($C37="Goal",P$7&gt;=$F37,P$7&lt;=$F37+$G37-1),2,IF(AND($C37="Milestone",P$7&gt;=$F37,P$7&lt;=$F37+$G37-1),1,""))</f>
        <v/>
      </c>
      <c r="Q30" s="23" t="str">
        <f ca="1">IF(AND($C37="Goal",Q$7&gt;=$F37,Q$7&lt;=$F37+$G37-1),2,IF(AND($C37="Milestone",Q$7&gt;=$F37,Q$7&lt;=$F37+$G37-1),1,""))</f>
        <v/>
      </c>
      <c r="R30" s="23" t="str">
        <f ca="1">IF(AND($C37="Goal",R$7&gt;=$F37,R$7&lt;=$F37+$G37-1),2,IF(AND($C37="Milestone",R$7&gt;=$F37,R$7&lt;=$F37+$G37-1),1,""))</f>
        <v/>
      </c>
      <c r="S30" s="23" t="str">
        <f ca="1">IF(AND($C37="Goal",S$7&gt;=$F37,S$7&lt;=$F37+$G37-1),2,IF(AND($C37="Milestone",S$7&gt;=$F37,S$7&lt;=$F37+$G37-1),1,""))</f>
        <v/>
      </c>
      <c r="T30" s="23" t="str">
        <f ca="1">IF(AND($C37="Goal",T$7&gt;=$F37,T$7&lt;=$F37+$G37-1),2,IF(AND($C37="Milestone",T$7&gt;=$F37,T$7&lt;=$F37+$G37-1),1,""))</f>
        <v/>
      </c>
      <c r="U30" s="23" t="str">
        <f ca="1">IF(AND($C37="Goal",U$7&gt;=$F37,U$7&lt;=$F37+$G37-1),2,IF(AND($C37="Milestone",U$7&gt;=$F37,U$7&lt;=$F37+$G37-1),1,""))</f>
        <v/>
      </c>
      <c r="V30" s="23" t="str">
        <f ca="1">IF(AND($C37="Goal",V$7&gt;=$F37,V$7&lt;=$F37+$G37-1),2,IF(AND($C37="Milestone",V$7&gt;=$F37,V$7&lt;=$F37+$G37-1),1,""))</f>
        <v/>
      </c>
      <c r="W30" s="23" t="str">
        <f ca="1">IF(AND($C37="Goal",W$7&gt;=$F37,W$7&lt;=$F37+$G37-1),2,IF(AND($C37="Milestone",W$7&gt;=$F37,W$7&lt;=$F37+$G37-1),1,""))</f>
        <v/>
      </c>
      <c r="X30" s="23" t="str">
        <f ca="1">IF(AND($C37="Goal",X$7&gt;=$F37,X$7&lt;=$F37+$G37-1),2,IF(AND($C37="Milestone",X$7&gt;=$F37,X$7&lt;=$F37+$G37-1),1,""))</f>
        <v/>
      </c>
      <c r="Y30" s="23" t="str">
        <f ca="1">IF(AND($C37="Goal",Y$7&gt;=$F37,Y$7&lt;=$F37+$G37-1),2,IF(AND($C37="Milestone",Y$7&gt;=$F37,Y$7&lt;=$F37+$G37-1),1,""))</f>
        <v/>
      </c>
      <c r="Z30" s="23" t="str">
        <f ca="1">IF(AND($C37="Goal",Z$7&gt;=$F37,Z$7&lt;=$F37+$G37-1),2,IF(AND($C37="Milestone",Z$7&gt;=$F37,Z$7&lt;=$F37+$G37-1),1,""))</f>
        <v/>
      </c>
      <c r="AA30" s="23" t="str">
        <f ca="1">IF(AND($C37="Goal",AA$7&gt;=$F37,AA$7&lt;=$F37+$G37-1),2,IF(AND($C37="Milestone",AA$7&gt;=$F37,AA$7&lt;=$F37+$G37-1),1,""))</f>
        <v/>
      </c>
      <c r="AB30" s="23" t="str">
        <f ca="1">IF(AND($C37="Goal",AB$7&gt;=$F37,AB$7&lt;=$F37+$G37-1),2,IF(AND($C37="Milestone",AB$7&gt;=$F37,AB$7&lt;=$F37+$G37-1),1,""))</f>
        <v/>
      </c>
      <c r="AC30" s="23" t="str">
        <f ca="1">IF(AND($C37="Goal",AC$7&gt;=$F37,AC$7&lt;=$F37+$G37-1),2,IF(AND($C37="Milestone",AC$7&gt;=$F37,AC$7&lt;=$F37+$G37-1),1,""))</f>
        <v/>
      </c>
      <c r="AD30" s="23" t="str">
        <f ca="1">IF(AND($C37="Goal",AD$7&gt;=$F37,AD$7&lt;=$F37+$G37-1),2,IF(AND($C37="Milestone",AD$7&gt;=$F37,AD$7&lt;=$F37+$G37-1),1,""))</f>
        <v/>
      </c>
      <c r="AE30" s="23" t="str">
        <f ca="1">IF(AND($C37="Goal",AE$7&gt;=$F37,AE$7&lt;=$F37+$G37-1),2,IF(AND($C37="Milestone",AE$7&gt;=$F37,AE$7&lt;=$F37+$G37-1),1,""))</f>
        <v/>
      </c>
      <c r="AF30" s="23" t="str">
        <f ca="1">IF(AND($C37="Goal",AF$7&gt;=$F37,AF$7&lt;=$F37+$G37-1),2,IF(AND($C37="Milestone",AF$7&gt;=$F37,AF$7&lt;=$F37+$G37-1),1,""))</f>
        <v/>
      </c>
      <c r="AG30" s="23" t="str">
        <f ca="1">IF(AND($C37="Goal",AG$7&gt;=$F37,AG$7&lt;=$F37+$G37-1),2,IF(AND($C37="Milestone",AG$7&gt;=$F37,AG$7&lt;=$F37+$G37-1),1,""))</f>
        <v/>
      </c>
      <c r="AH30" s="23" t="str">
        <f ca="1">IF(AND($C37="Goal",AH$7&gt;=$F37,AH$7&lt;=$F37+$G37-1),2,IF(AND($C37="Milestone",AH$7&gt;=$F37,AH$7&lt;=$F37+$G37-1),1,""))</f>
        <v/>
      </c>
      <c r="AI30" s="23" t="str">
        <f ca="1">IF(AND($C37="Goal",AI$7&gt;=$F37,AI$7&lt;=$F37+$G37-1),2,IF(AND($C37="Milestone",AI$7&gt;=$F37,AI$7&lt;=$F37+$G37-1),1,""))</f>
        <v/>
      </c>
      <c r="AJ30" s="23" t="str">
        <f ca="1">IF(AND($C37="Goal",AJ$7&gt;=$F37,AJ$7&lt;=$F37+$G37-1),2,IF(AND($C37="Milestone",AJ$7&gt;=$F37,AJ$7&lt;=$F37+$G37-1),1,""))</f>
        <v/>
      </c>
      <c r="AK30" s="23" t="str">
        <f ca="1">IF(AND($C37="Goal",AK$7&gt;=$F37,AK$7&lt;=$F37+$G37-1),2,IF(AND($C37="Milestone",AK$7&gt;=$F37,AK$7&lt;=$F37+$G37-1),1,""))</f>
        <v/>
      </c>
      <c r="AL30" s="23" t="str">
        <f ca="1">IF(AND($C37="Goal",AL$7&gt;=$F37,AL$7&lt;=$F37+$G37-1),2,IF(AND($C37="Milestone",AL$7&gt;=$F37,AL$7&lt;=$F37+$G37-1),1,""))</f>
        <v/>
      </c>
      <c r="AM30" s="23" t="str">
        <f ca="1">IF(AND($C37="Goal",AM$7&gt;=$F37,AM$7&lt;=$F37+$G37-1),2,IF(AND($C37="Milestone",AM$7&gt;=$F37,AM$7&lt;=$F37+$G37-1),1,""))</f>
        <v/>
      </c>
      <c r="AN30" s="23" t="str">
        <f ca="1">IF(AND($C37="Goal",AN$7&gt;=$F37,AN$7&lt;=$F37+$G37-1),2,IF(AND($C37="Milestone",AN$7&gt;=$F37,AN$7&lt;=$F37+$G37-1),1,""))</f>
        <v/>
      </c>
      <c r="AO30" s="23" t="str">
        <f ca="1">IF(AND($C37="Goal",AO$7&gt;=$F37,AO$7&lt;=$F37+$G37-1),2,IF(AND($C37="Milestone",AO$7&gt;=$F37,AO$7&lt;=$F37+$G37-1),1,""))</f>
        <v/>
      </c>
      <c r="AP30" s="23" t="str">
        <f ca="1">IF(AND($C37="Goal",AP$7&gt;=$F37,AP$7&lt;=$F37+$G37-1),2,IF(AND($C37="Milestone",AP$7&gt;=$F37,AP$7&lt;=$F37+$G37-1),1,""))</f>
        <v/>
      </c>
      <c r="AQ30" s="23" t="str">
        <f ca="1">IF(AND($C37="Goal",AQ$7&gt;=$F37,AQ$7&lt;=$F37+$G37-1),2,IF(AND($C37="Milestone",AQ$7&gt;=$F37,AQ$7&lt;=$F37+$G37-1),1,""))</f>
        <v/>
      </c>
      <c r="AR30" s="23" t="str">
        <f ca="1">IF(AND($C37="Goal",AR$7&gt;=$F37,AR$7&lt;=$F37+$G37-1),2,IF(AND($C37="Milestone",AR$7&gt;=$F37,AR$7&lt;=$F37+$G37-1),1,""))</f>
        <v/>
      </c>
      <c r="AS30" s="23" t="str">
        <f ca="1">IF(AND($C37="Goal",AS$7&gt;=$F37,AS$7&lt;=$F37+$G37-1),2,IF(AND($C37="Milestone",AS$7&gt;=$F37,AS$7&lt;=$F37+$G37-1),1,""))</f>
        <v/>
      </c>
      <c r="AT30" s="23" t="str">
        <f ca="1">IF(AND($C37="Goal",AT$7&gt;=$F37,AT$7&lt;=$F37+$G37-1),2,IF(AND($C37="Milestone",AT$7&gt;=$F37,AT$7&lt;=$F37+$G37-1),1,""))</f>
        <v/>
      </c>
      <c r="AU30" s="23" t="str">
        <f ca="1">IF(AND($C37="Goal",AU$7&gt;=$F37,AU$7&lt;=$F37+$G37-1),2,IF(AND($C37="Milestone",AU$7&gt;=$F37,AU$7&lt;=$F37+$G37-1),1,""))</f>
        <v/>
      </c>
      <c r="AV30" s="23" t="str">
        <f ca="1">IF(AND($C37="Goal",AV$7&gt;=$F37,AV$7&lt;=$F37+$G37-1),2,IF(AND($C37="Milestone",AV$7&gt;=$F37,AV$7&lt;=$F37+$G37-1),1,""))</f>
        <v/>
      </c>
      <c r="AW30" s="23" t="str">
        <f ca="1">IF(AND($C37="Goal",AW$7&gt;=$F37,AW$7&lt;=$F37+$G37-1),2,IF(AND($C37="Milestone",AW$7&gt;=$F37,AW$7&lt;=$F37+$G37-1),1,""))</f>
        <v/>
      </c>
      <c r="AX30" s="23" t="str">
        <f ca="1">IF(AND($C37="Goal",AX$7&gt;=$F37,AX$7&lt;=$F37+$G37-1),2,IF(AND($C37="Milestone",AX$7&gt;=$F37,AX$7&lt;=$F37+$G37-1),1,""))</f>
        <v/>
      </c>
      <c r="AY30" s="23" t="str">
        <f ca="1">IF(AND($C37="Goal",AY$7&gt;=$F37,AY$7&lt;=$F37+$G37-1),2,IF(AND($C37="Milestone",AY$7&gt;=$F37,AY$7&lt;=$F37+$G37-1),1,""))</f>
        <v/>
      </c>
      <c r="AZ30" s="23" t="str">
        <f ca="1">IF(AND($C37="Goal",AZ$7&gt;=$F37,AZ$7&lt;=$F37+$G37-1),2,IF(AND($C37="Milestone",AZ$7&gt;=$F37,AZ$7&lt;=$F37+$G37-1),1,""))</f>
        <v/>
      </c>
      <c r="BA30" s="23" t="str">
        <f ca="1">IF(AND($C37="Goal",BA$7&gt;=$F37,BA$7&lt;=$F37+$G37-1),2,IF(AND($C37="Milestone",BA$7&gt;=$F37,BA$7&lt;=$F37+$G37-1),1,""))</f>
        <v/>
      </c>
      <c r="BB30" s="23" t="str">
        <f ca="1">IF(AND($C37="Goal",BB$7&gt;=$F37,BB$7&lt;=$F37+$G37-1),2,IF(AND($C37="Milestone",BB$7&gt;=$F37,BB$7&lt;=$F37+$G37-1),1,""))</f>
        <v/>
      </c>
      <c r="BC30" s="23" t="str">
        <f ca="1">IF(AND($C37="Goal",BC$7&gt;=$F37,BC$7&lt;=$F37+$G37-1),2,IF(AND($C37="Milestone",BC$7&gt;=$F37,BC$7&lt;=$F37+$G37-1),1,""))</f>
        <v/>
      </c>
      <c r="BD30" s="23" t="str">
        <f ca="1">IF(AND($C37="Goal",BD$7&gt;=$F37,BD$7&lt;=$F37+$G37-1),2,IF(AND($C37="Milestone",BD$7&gt;=$F37,BD$7&lt;=$F37+$G37-1),1,""))</f>
        <v/>
      </c>
      <c r="BE30" s="23" t="str">
        <f ca="1">IF(AND($C37="Goal",BE$7&gt;=$F37,BE$7&lt;=$F37+$G37-1),2,IF(AND($C37="Milestone",BE$7&gt;=$F37,BE$7&lt;=$F37+$G37-1),1,""))</f>
        <v/>
      </c>
      <c r="BF30" s="23" t="str">
        <f ca="1">IF(AND($C37="Goal",BF$7&gt;=$F37,BF$7&lt;=$F37+$G37-1),2,IF(AND($C37="Milestone",BF$7&gt;=$F37,BF$7&lt;=$F37+$G37-1),1,""))</f>
        <v/>
      </c>
      <c r="BG30" s="23" t="str">
        <f ca="1">IF(AND($C37="Goal",BG$7&gt;=$F37,BG$7&lt;=$F37+$G37-1),2,IF(AND($C37="Milestone",BG$7&gt;=$F37,BG$7&lt;=$F37+$G37-1),1,""))</f>
        <v/>
      </c>
      <c r="BH30" s="23" t="str">
        <f ca="1">IF(AND($C37="Goal",BH$7&gt;=$F37,BH$7&lt;=$F37+$G37-1),2,IF(AND($C37="Milestone",BH$7&gt;=$F37,BH$7&lt;=$F37+$G37-1),1,""))</f>
        <v/>
      </c>
      <c r="BI30" s="23" t="str">
        <f ca="1">IF(AND($C37="Goal",BI$7&gt;=$F37,BI$7&lt;=$F37+$G37-1),2,IF(AND($C37="Milestone",BI$7&gt;=$F37,BI$7&lt;=$F37+$G37-1),1,""))</f>
        <v/>
      </c>
      <c r="BJ30" s="23" t="str">
        <f ca="1">IF(AND($C37="Goal",BJ$7&gt;=$F37,BJ$7&lt;=$F37+$G37-1),2,IF(AND($C37="Milestone",BJ$7&gt;=$F37,BJ$7&lt;=$F37+$G37-1),1,""))</f>
        <v/>
      </c>
      <c r="BK30" s="23" t="str">
        <f ca="1">IF(AND($C37="Goal",BK$7&gt;=$F37,BK$7&lt;=$F37+$G37-1),2,IF(AND($C37="Milestone",BK$7&gt;=$F37,BK$7&lt;=$F37+$G37-1),1,""))</f>
        <v/>
      </c>
      <c r="BL30" s="23" t="str">
        <f ca="1">IF(AND($C37="Goal",BL$7&gt;=$F37,BL$7&lt;=$F37+$G37-1),2,IF(AND($C37="Milestone",BL$7&gt;=$F37,BL$7&lt;=$F37+$G37-1),1,""))</f>
        <v/>
      </c>
      <c r="BM30" s="24"/>
    </row>
    <row r="31" spans="1:65" s="1" customFormat="1" ht="40.15" customHeight="1" x14ac:dyDescent="0.25">
      <c r="A31" s="9"/>
      <c r="B31" s="133" t="s">
        <v>3</v>
      </c>
      <c r="C31" s="21" t="s">
        <v>16</v>
      </c>
      <c r="D31" s="21"/>
      <c r="E31" s="138"/>
      <c r="F31" s="139">
        <f ca="1">F12+15</f>
        <v>46128</v>
      </c>
      <c r="G31" s="140">
        <v>4</v>
      </c>
      <c r="H31" s="19"/>
      <c r="I31" s="43" t="str">
        <f ca="1">IF(AND($C38="Goal",I$7&gt;=$F38,I$7&lt;=$F38+$G38-1),2,IF(AND($C38="Milestone",I$7&gt;=$F38,I$7&lt;=$F38+$G38-1),1,""))</f>
        <v/>
      </c>
      <c r="J31" s="23" t="str">
        <f ca="1">IF(AND($C38="Goal",J$7&gt;=$F38,J$7&lt;=$F38+$G38-1),2,IF(AND($C38="Milestone",J$7&gt;=$F38,J$7&lt;=$F38+$G38-1),1,""))</f>
        <v/>
      </c>
      <c r="K31" s="23" t="str">
        <f ca="1">IF(AND($C38="Goal",K$7&gt;=$F38,K$7&lt;=$F38+$G38-1),2,IF(AND($C38="Milestone",K$7&gt;=$F38,K$7&lt;=$F38+$G38-1),1,""))</f>
        <v/>
      </c>
      <c r="L31" s="23" t="str">
        <f ca="1">IF(AND($C38="Goal",L$7&gt;=$F38,L$7&lt;=$F38+$G38-1),2,IF(AND($C38="Milestone",L$7&gt;=$F38,L$7&lt;=$F38+$G38-1),1,""))</f>
        <v/>
      </c>
      <c r="M31" s="23" t="str">
        <f ca="1">IF(AND($C38="Goal",M$7&gt;=$F38,M$7&lt;=$F38+$G38-1),2,IF(AND($C38="Milestone",M$7&gt;=$F38,M$7&lt;=$F38+$G38-1),1,""))</f>
        <v/>
      </c>
      <c r="N31" s="23" t="str">
        <f ca="1">IF(AND($C38="Goal",N$7&gt;=$F38,N$7&lt;=$F38+$G38-1),2,IF(AND($C38="Milestone",N$7&gt;=$F38,N$7&lt;=$F38+$G38-1),1,""))</f>
        <v/>
      </c>
      <c r="O31" s="23" t="str">
        <f ca="1">IF(AND($C38="Goal",O$7&gt;=$F38,O$7&lt;=$F38+$G38-1),2,IF(AND($C38="Milestone",O$7&gt;=$F38,O$7&lt;=$F38+$G38-1),1,""))</f>
        <v/>
      </c>
      <c r="P31" s="23" t="str">
        <f ca="1">IF(AND($C38="Goal",P$7&gt;=$F38,P$7&lt;=$F38+$G38-1),2,IF(AND($C38="Milestone",P$7&gt;=$F38,P$7&lt;=$F38+$G38-1),1,""))</f>
        <v/>
      </c>
      <c r="Q31" s="23" t="str">
        <f ca="1">IF(AND($C38="Goal",Q$7&gt;=$F38,Q$7&lt;=$F38+$G38-1),2,IF(AND($C38="Milestone",Q$7&gt;=$F38,Q$7&lt;=$F38+$G38-1),1,""))</f>
        <v/>
      </c>
      <c r="R31" s="23" t="str">
        <f ca="1">IF(AND($C38="Goal",R$7&gt;=$F38,R$7&lt;=$F38+$G38-1),2,IF(AND($C38="Milestone",R$7&gt;=$F38,R$7&lt;=$F38+$G38-1),1,""))</f>
        <v/>
      </c>
      <c r="S31" s="23" t="str">
        <f ca="1">IF(AND($C38="Goal",S$7&gt;=$F38,S$7&lt;=$F38+$G38-1),2,IF(AND($C38="Milestone",S$7&gt;=$F38,S$7&lt;=$F38+$G38-1),1,""))</f>
        <v/>
      </c>
      <c r="T31" s="23" t="str">
        <f ca="1">IF(AND($C38="Goal",T$7&gt;=$F38,T$7&lt;=$F38+$G38-1),2,IF(AND($C38="Milestone",T$7&gt;=$F38,T$7&lt;=$F38+$G38-1),1,""))</f>
        <v/>
      </c>
      <c r="U31" s="23" t="str">
        <f ca="1">IF(AND($C38="Goal",U$7&gt;=$F38,U$7&lt;=$F38+$G38-1),2,IF(AND($C38="Milestone",U$7&gt;=$F38,U$7&lt;=$F38+$G38-1),1,""))</f>
        <v/>
      </c>
      <c r="V31" s="23" t="str">
        <f ca="1">IF(AND($C38="Goal",V$7&gt;=$F38,V$7&lt;=$F38+$G38-1),2,IF(AND($C38="Milestone",V$7&gt;=$F38,V$7&lt;=$F38+$G38-1),1,""))</f>
        <v/>
      </c>
      <c r="W31" s="23" t="str">
        <f ca="1">IF(AND($C38="Goal",W$7&gt;=$F38,W$7&lt;=$F38+$G38-1),2,IF(AND($C38="Milestone",W$7&gt;=$F38,W$7&lt;=$F38+$G38-1),1,""))</f>
        <v/>
      </c>
      <c r="X31" s="23" t="str">
        <f ca="1">IF(AND($C38="Goal",X$7&gt;=$F38,X$7&lt;=$F38+$G38-1),2,IF(AND($C38="Milestone",X$7&gt;=$F38,X$7&lt;=$F38+$G38-1),1,""))</f>
        <v/>
      </c>
      <c r="Y31" s="23" t="str">
        <f ca="1">IF(AND($C38="Goal",Y$7&gt;=$F38,Y$7&lt;=$F38+$G38-1),2,IF(AND($C38="Milestone",Y$7&gt;=$F38,Y$7&lt;=$F38+$G38-1),1,""))</f>
        <v/>
      </c>
      <c r="Z31" s="23" t="str">
        <f ca="1">IF(AND($C38="Goal",Z$7&gt;=$F38,Z$7&lt;=$F38+$G38-1),2,IF(AND($C38="Milestone",Z$7&gt;=$F38,Z$7&lt;=$F38+$G38-1),1,""))</f>
        <v/>
      </c>
      <c r="AA31" s="23" t="str">
        <f ca="1">IF(AND($C38="Goal",AA$7&gt;=$F38,AA$7&lt;=$F38+$G38-1),2,IF(AND($C38="Milestone",AA$7&gt;=$F38,AA$7&lt;=$F38+$G38-1),1,""))</f>
        <v/>
      </c>
      <c r="AB31" s="23" t="str">
        <f ca="1">IF(AND($C38="Goal",AB$7&gt;=$F38,AB$7&lt;=$F38+$G38-1),2,IF(AND($C38="Milestone",AB$7&gt;=$F38,AB$7&lt;=$F38+$G38-1),1,""))</f>
        <v/>
      </c>
      <c r="AC31" s="23" t="str">
        <f ca="1">IF(AND($C38="Goal",AC$7&gt;=$F38,AC$7&lt;=$F38+$G38-1),2,IF(AND($C38="Milestone",AC$7&gt;=$F38,AC$7&lt;=$F38+$G38-1),1,""))</f>
        <v/>
      </c>
      <c r="AD31" s="23" t="str">
        <f ca="1">IF(AND($C38="Goal",AD$7&gt;=$F38,AD$7&lt;=$F38+$G38-1),2,IF(AND($C38="Milestone",AD$7&gt;=$F38,AD$7&lt;=$F38+$G38-1),1,""))</f>
        <v/>
      </c>
      <c r="AE31" s="23" t="str">
        <f ca="1">IF(AND($C38="Goal",AE$7&gt;=$F38,AE$7&lt;=$F38+$G38-1),2,IF(AND($C38="Milestone",AE$7&gt;=$F38,AE$7&lt;=$F38+$G38-1),1,""))</f>
        <v/>
      </c>
      <c r="AF31" s="23" t="str">
        <f ca="1">IF(AND($C38="Goal",AF$7&gt;=$F38,AF$7&lt;=$F38+$G38-1),2,IF(AND($C38="Milestone",AF$7&gt;=$F38,AF$7&lt;=$F38+$G38-1),1,""))</f>
        <v/>
      </c>
      <c r="AG31" s="23" t="str">
        <f ca="1">IF(AND($C38="Goal",AG$7&gt;=$F38,AG$7&lt;=$F38+$G38-1),2,IF(AND($C38="Milestone",AG$7&gt;=$F38,AG$7&lt;=$F38+$G38-1),1,""))</f>
        <v/>
      </c>
      <c r="AH31" s="23" t="str">
        <f ca="1">IF(AND($C38="Goal",AH$7&gt;=$F38,AH$7&lt;=$F38+$G38-1),2,IF(AND($C38="Milestone",AH$7&gt;=$F38,AH$7&lt;=$F38+$G38-1),1,""))</f>
        <v/>
      </c>
      <c r="AI31" s="23" t="str">
        <f ca="1">IF(AND($C38="Goal",AI$7&gt;=$F38,AI$7&lt;=$F38+$G38-1),2,IF(AND($C38="Milestone",AI$7&gt;=$F38,AI$7&lt;=$F38+$G38-1),1,""))</f>
        <v/>
      </c>
      <c r="AJ31" s="23" t="str">
        <f ca="1">IF(AND($C38="Goal",AJ$7&gt;=$F38,AJ$7&lt;=$F38+$G38-1),2,IF(AND($C38="Milestone",AJ$7&gt;=$F38,AJ$7&lt;=$F38+$G38-1),1,""))</f>
        <v/>
      </c>
      <c r="AK31" s="23" t="str">
        <f ca="1">IF(AND($C38="Goal",AK$7&gt;=$F38,AK$7&lt;=$F38+$G38-1),2,IF(AND($C38="Milestone",AK$7&gt;=$F38,AK$7&lt;=$F38+$G38-1),1,""))</f>
        <v/>
      </c>
      <c r="AL31" s="23" t="str">
        <f ca="1">IF(AND($C38="Goal",AL$7&gt;=$F38,AL$7&lt;=$F38+$G38-1),2,IF(AND($C38="Milestone",AL$7&gt;=$F38,AL$7&lt;=$F38+$G38-1),1,""))</f>
        <v/>
      </c>
      <c r="AM31" s="23" t="str">
        <f ca="1">IF(AND($C38="Goal",AM$7&gt;=$F38,AM$7&lt;=$F38+$G38-1),2,IF(AND($C38="Milestone",AM$7&gt;=$F38,AM$7&lt;=$F38+$G38-1),1,""))</f>
        <v/>
      </c>
      <c r="AN31" s="23" t="str">
        <f ca="1">IF(AND($C38="Goal",AN$7&gt;=$F38,AN$7&lt;=$F38+$G38-1),2,IF(AND($C38="Milestone",AN$7&gt;=$F38,AN$7&lt;=$F38+$G38-1),1,""))</f>
        <v/>
      </c>
      <c r="AO31" s="23" t="str">
        <f ca="1">IF(AND($C38="Goal",AO$7&gt;=$F38,AO$7&lt;=$F38+$G38-1),2,IF(AND($C38="Milestone",AO$7&gt;=$F38,AO$7&lt;=$F38+$G38-1),1,""))</f>
        <v/>
      </c>
      <c r="AP31" s="23" t="str">
        <f ca="1">IF(AND($C38="Goal",AP$7&gt;=$F38,AP$7&lt;=$F38+$G38-1),2,IF(AND($C38="Milestone",AP$7&gt;=$F38,AP$7&lt;=$F38+$G38-1),1,""))</f>
        <v/>
      </c>
      <c r="AQ31" s="23" t="str">
        <f ca="1">IF(AND($C38="Goal",AQ$7&gt;=$F38,AQ$7&lt;=$F38+$G38-1),2,IF(AND($C38="Milestone",AQ$7&gt;=$F38,AQ$7&lt;=$F38+$G38-1),1,""))</f>
        <v/>
      </c>
      <c r="AR31" s="23" t="str">
        <f ca="1">IF(AND($C38="Goal",AR$7&gt;=$F38,AR$7&lt;=$F38+$G38-1),2,IF(AND($C38="Milestone",AR$7&gt;=$F38,AR$7&lt;=$F38+$G38-1),1,""))</f>
        <v/>
      </c>
      <c r="AS31" s="23" t="str">
        <f ca="1">IF(AND($C38="Goal",AS$7&gt;=$F38,AS$7&lt;=$F38+$G38-1),2,IF(AND($C38="Milestone",AS$7&gt;=$F38,AS$7&lt;=$F38+$G38-1),1,""))</f>
        <v/>
      </c>
      <c r="AT31" s="23" t="str">
        <f ca="1">IF(AND($C38="Goal",AT$7&gt;=$F38,AT$7&lt;=$F38+$G38-1),2,IF(AND($C38="Milestone",AT$7&gt;=$F38,AT$7&lt;=$F38+$G38-1),1,""))</f>
        <v/>
      </c>
      <c r="AU31" s="23" t="str">
        <f ca="1">IF(AND($C38="Goal",AU$7&gt;=$F38,AU$7&lt;=$F38+$G38-1),2,IF(AND($C38="Milestone",AU$7&gt;=$F38,AU$7&lt;=$F38+$G38-1),1,""))</f>
        <v/>
      </c>
      <c r="AV31" s="23" t="str">
        <f ca="1">IF(AND($C38="Goal",AV$7&gt;=$F38,AV$7&lt;=$F38+$G38-1),2,IF(AND($C38="Milestone",AV$7&gt;=$F38,AV$7&lt;=$F38+$G38-1),1,""))</f>
        <v/>
      </c>
      <c r="AW31" s="23" t="str">
        <f ca="1">IF(AND($C38="Goal",AW$7&gt;=$F38,AW$7&lt;=$F38+$G38-1),2,IF(AND($C38="Milestone",AW$7&gt;=$F38,AW$7&lt;=$F38+$G38-1),1,""))</f>
        <v/>
      </c>
      <c r="AX31" s="23" t="str">
        <f ca="1">IF(AND($C38="Goal",AX$7&gt;=$F38,AX$7&lt;=$F38+$G38-1),2,IF(AND($C38="Milestone",AX$7&gt;=$F38,AX$7&lt;=$F38+$G38-1),1,""))</f>
        <v/>
      </c>
      <c r="AY31" s="23" t="str">
        <f ca="1">IF(AND($C38="Goal",AY$7&gt;=$F38,AY$7&lt;=$F38+$G38-1),2,IF(AND($C38="Milestone",AY$7&gt;=$F38,AY$7&lt;=$F38+$G38-1),1,""))</f>
        <v/>
      </c>
      <c r="AZ31" s="23" t="str">
        <f ca="1">IF(AND($C38="Goal",AZ$7&gt;=$F38,AZ$7&lt;=$F38+$G38-1),2,IF(AND($C38="Milestone",AZ$7&gt;=$F38,AZ$7&lt;=$F38+$G38-1),1,""))</f>
        <v/>
      </c>
      <c r="BA31" s="23" t="str">
        <f ca="1">IF(AND($C38="Goal",BA$7&gt;=$F38,BA$7&lt;=$F38+$G38-1),2,IF(AND($C38="Milestone",BA$7&gt;=$F38,BA$7&lt;=$F38+$G38-1),1,""))</f>
        <v/>
      </c>
      <c r="BB31" s="23" t="str">
        <f ca="1">IF(AND($C38="Goal",BB$7&gt;=$F38,BB$7&lt;=$F38+$G38-1),2,IF(AND($C38="Milestone",BB$7&gt;=$F38,BB$7&lt;=$F38+$G38-1),1,""))</f>
        <v/>
      </c>
      <c r="BC31" s="23" t="str">
        <f ca="1">IF(AND($C38="Goal",BC$7&gt;=$F38,BC$7&lt;=$F38+$G38-1),2,IF(AND($C38="Milestone",BC$7&gt;=$F38,BC$7&lt;=$F38+$G38-1),1,""))</f>
        <v/>
      </c>
      <c r="BD31" s="23" t="str">
        <f ca="1">IF(AND($C38="Goal",BD$7&gt;=$F38,BD$7&lt;=$F38+$G38-1),2,IF(AND($C38="Milestone",BD$7&gt;=$F38,BD$7&lt;=$F38+$G38-1),1,""))</f>
        <v/>
      </c>
      <c r="BE31" s="23" t="str">
        <f ca="1">IF(AND($C38="Goal",BE$7&gt;=$F38,BE$7&lt;=$F38+$G38-1),2,IF(AND($C38="Milestone",BE$7&gt;=$F38,BE$7&lt;=$F38+$G38-1),1,""))</f>
        <v/>
      </c>
      <c r="BF31" s="23" t="str">
        <f ca="1">IF(AND($C38="Goal",BF$7&gt;=$F38,BF$7&lt;=$F38+$G38-1),2,IF(AND($C38="Milestone",BF$7&gt;=$F38,BF$7&lt;=$F38+$G38-1),1,""))</f>
        <v/>
      </c>
      <c r="BG31" s="23" t="str">
        <f ca="1">IF(AND($C38="Goal",BG$7&gt;=$F38,BG$7&lt;=$F38+$G38-1),2,IF(AND($C38="Milestone",BG$7&gt;=$F38,BG$7&lt;=$F38+$G38-1),1,""))</f>
        <v/>
      </c>
      <c r="BH31" s="23" t="str">
        <f ca="1">IF(AND($C38="Goal",BH$7&gt;=$F38,BH$7&lt;=$F38+$G38-1),2,IF(AND($C38="Milestone",BH$7&gt;=$F38,BH$7&lt;=$F38+$G38-1),1,""))</f>
        <v/>
      </c>
      <c r="BI31" s="23" t="str">
        <f ca="1">IF(AND($C38="Goal",BI$7&gt;=$F38,BI$7&lt;=$F38+$G38-1),2,IF(AND($C38="Milestone",BI$7&gt;=$F38,BI$7&lt;=$F38+$G38-1),1,""))</f>
        <v/>
      </c>
      <c r="BJ31" s="23" t="str">
        <f ca="1">IF(AND($C38="Goal",BJ$7&gt;=$F38,BJ$7&lt;=$F38+$G38-1),2,IF(AND($C38="Milestone",BJ$7&gt;=$F38,BJ$7&lt;=$F38+$G38-1),1,""))</f>
        <v/>
      </c>
      <c r="BK31" s="23" t="str">
        <f ca="1">IF(AND($C38="Goal",BK$7&gt;=$F38,BK$7&lt;=$F38+$G38-1),2,IF(AND($C38="Milestone",BK$7&gt;=$F38,BK$7&lt;=$F38+$G38-1),1,""))</f>
        <v/>
      </c>
      <c r="BL31" s="23" t="str">
        <f ca="1">IF(AND($C38="Goal",BL$7&gt;=$F38,BL$7&lt;=$F38+$G38-1),2,IF(AND($C38="Milestone",BL$7&gt;=$F38,BL$7&lt;=$F38+$G38-1),1,""))</f>
        <v/>
      </c>
      <c r="BM31" s="24"/>
    </row>
    <row r="32" spans="1:65" s="1" customFormat="1" ht="40.15" customHeight="1" x14ac:dyDescent="0.25">
      <c r="A32" s="9"/>
      <c r="B32" s="133" t="s">
        <v>4</v>
      </c>
      <c r="C32" s="21" t="s">
        <v>13</v>
      </c>
      <c r="D32" s="21"/>
      <c r="E32" s="138"/>
      <c r="F32" s="139">
        <f ca="1">F31+3</f>
        <v>46131</v>
      </c>
      <c r="G32" s="140">
        <v>14</v>
      </c>
      <c r="H32" s="19"/>
      <c r="I32" s="43" t="str">
        <f ca="1">IF(AND($C39="Goal",I$7&gt;=$F39,I$7&lt;=$F39+$G39-1),2,IF(AND($C39="Milestone",I$7&gt;=$F39,I$7&lt;=$F39+$G39-1),1,""))</f>
        <v/>
      </c>
      <c r="J32" s="23" t="str">
        <f ca="1">IF(AND($C39="Goal",J$7&gt;=$F39,J$7&lt;=$F39+$G39-1),2,IF(AND($C39="Milestone",J$7&gt;=$F39,J$7&lt;=$F39+$G39-1),1,""))</f>
        <v/>
      </c>
      <c r="K32" s="23" t="str">
        <f ca="1">IF(AND($C39="Goal",K$7&gt;=$F39,K$7&lt;=$F39+$G39-1),2,IF(AND($C39="Milestone",K$7&gt;=$F39,K$7&lt;=$F39+$G39-1),1,""))</f>
        <v/>
      </c>
      <c r="L32" s="23" t="str">
        <f ca="1">IF(AND($C39="Goal",L$7&gt;=$F39,L$7&lt;=$F39+$G39-1),2,IF(AND($C39="Milestone",L$7&gt;=$F39,L$7&lt;=$F39+$G39-1),1,""))</f>
        <v/>
      </c>
      <c r="M32" s="23" t="str">
        <f ca="1">IF(AND($C39="Goal",M$7&gt;=$F39,M$7&lt;=$F39+$G39-1),2,IF(AND($C39="Milestone",M$7&gt;=$F39,M$7&lt;=$F39+$G39-1),1,""))</f>
        <v/>
      </c>
      <c r="N32" s="23" t="str">
        <f ca="1">IF(AND($C39="Goal",N$7&gt;=$F39,N$7&lt;=$F39+$G39-1),2,IF(AND($C39="Milestone",N$7&gt;=$F39,N$7&lt;=$F39+$G39-1),1,""))</f>
        <v/>
      </c>
      <c r="O32" s="23" t="str">
        <f ca="1">IF(AND($C39="Goal",O$7&gt;=$F39,O$7&lt;=$F39+$G39-1),2,IF(AND($C39="Milestone",O$7&gt;=$F39,O$7&lt;=$F39+$G39-1),1,""))</f>
        <v/>
      </c>
      <c r="P32" s="23" t="str">
        <f ca="1">IF(AND($C39="Goal",P$7&gt;=$F39,P$7&lt;=$F39+$G39-1),2,IF(AND($C39="Milestone",P$7&gt;=$F39,P$7&lt;=$F39+$G39-1),1,""))</f>
        <v/>
      </c>
      <c r="Q32" s="23" t="str">
        <f ca="1">IF(AND($C39="Goal",Q$7&gt;=$F39,Q$7&lt;=$F39+$G39-1),2,IF(AND($C39="Milestone",Q$7&gt;=$F39,Q$7&lt;=$F39+$G39-1),1,""))</f>
        <v/>
      </c>
      <c r="R32" s="23" t="str">
        <f ca="1">IF(AND($C39="Goal",R$7&gt;=$F39,R$7&lt;=$F39+$G39-1),2,IF(AND($C39="Milestone",R$7&gt;=$F39,R$7&lt;=$F39+$G39-1),1,""))</f>
        <v/>
      </c>
      <c r="S32" s="23" t="str">
        <f ca="1">IF(AND($C39="Goal",S$7&gt;=$F39,S$7&lt;=$F39+$G39-1),2,IF(AND($C39="Milestone",S$7&gt;=$F39,S$7&lt;=$F39+$G39-1),1,""))</f>
        <v/>
      </c>
      <c r="T32" s="23" t="str">
        <f ca="1">IF(AND($C39="Goal",T$7&gt;=$F39,T$7&lt;=$F39+$G39-1),2,IF(AND($C39="Milestone",T$7&gt;=$F39,T$7&lt;=$F39+$G39-1),1,""))</f>
        <v/>
      </c>
      <c r="U32" s="23" t="str">
        <f ca="1">IF(AND($C39="Goal",U$7&gt;=$F39,U$7&lt;=$F39+$G39-1),2,IF(AND($C39="Milestone",U$7&gt;=$F39,U$7&lt;=$F39+$G39-1),1,""))</f>
        <v/>
      </c>
      <c r="V32" s="23" t="str">
        <f ca="1">IF(AND($C39="Goal",V$7&gt;=$F39,V$7&lt;=$F39+$G39-1),2,IF(AND($C39="Milestone",V$7&gt;=$F39,V$7&lt;=$F39+$G39-1),1,""))</f>
        <v/>
      </c>
      <c r="W32" s="23" t="str">
        <f ca="1">IF(AND($C39="Goal",W$7&gt;=$F39,W$7&lt;=$F39+$G39-1),2,IF(AND($C39="Milestone",W$7&gt;=$F39,W$7&lt;=$F39+$G39-1),1,""))</f>
        <v/>
      </c>
      <c r="X32" s="23" t="str">
        <f ca="1">IF(AND($C39="Goal",X$7&gt;=$F39,X$7&lt;=$F39+$G39-1),2,IF(AND($C39="Milestone",X$7&gt;=$F39,X$7&lt;=$F39+$G39-1),1,""))</f>
        <v/>
      </c>
      <c r="Y32" s="23" t="str">
        <f ca="1">IF(AND($C39="Goal",Y$7&gt;=$F39,Y$7&lt;=$F39+$G39-1),2,IF(AND($C39="Milestone",Y$7&gt;=$F39,Y$7&lt;=$F39+$G39-1),1,""))</f>
        <v/>
      </c>
      <c r="Z32" s="23" t="str">
        <f ca="1">IF(AND($C39="Goal",Z$7&gt;=$F39,Z$7&lt;=$F39+$G39-1),2,IF(AND($C39="Milestone",Z$7&gt;=$F39,Z$7&lt;=$F39+$G39-1),1,""))</f>
        <v/>
      </c>
      <c r="AA32" s="23" t="str">
        <f ca="1">IF(AND($C39="Goal",AA$7&gt;=$F39,AA$7&lt;=$F39+$G39-1),2,IF(AND($C39="Milestone",AA$7&gt;=$F39,AA$7&lt;=$F39+$G39-1),1,""))</f>
        <v/>
      </c>
      <c r="AB32" s="23" t="str">
        <f ca="1">IF(AND($C39="Goal",AB$7&gt;=$F39,AB$7&lt;=$F39+$G39-1),2,IF(AND($C39="Milestone",AB$7&gt;=$F39,AB$7&lt;=$F39+$G39-1),1,""))</f>
        <v/>
      </c>
      <c r="AC32" s="23" t="str">
        <f ca="1">IF(AND($C39="Goal",AC$7&gt;=$F39,AC$7&lt;=$F39+$G39-1),2,IF(AND($C39="Milestone",AC$7&gt;=$F39,AC$7&lt;=$F39+$G39-1),1,""))</f>
        <v/>
      </c>
      <c r="AD32" s="23" t="str">
        <f ca="1">IF(AND($C39="Goal",AD$7&gt;=$F39,AD$7&lt;=$F39+$G39-1),2,IF(AND($C39="Milestone",AD$7&gt;=$F39,AD$7&lt;=$F39+$G39-1),1,""))</f>
        <v/>
      </c>
      <c r="AE32" s="23" t="str">
        <f ca="1">IF(AND($C39="Goal",AE$7&gt;=$F39,AE$7&lt;=$F39+$G39-1),2,IF(AND($C39="Milestone",AE$7&gt;=$F39,AE$7&lt;=$F39+$G39-1),1,""))</f>
        <v/>
      </c>
      <c r="AF32" s="23" t="str">
        <f ca="1">IF(AND($C39="Goal",AF$7&gt;=$F39,AF$7&lt;=$F39+$G39-1),2,IF(AND($C39="Milestone",AF$7&gt;=$F39,AF$7&lt;=$F39+$G39-1),1,""))</f>
        <v/>
      </c>
      <c r="AG32" s="23" t="str">
        <f ca="1">IF(AND($C39="Goal",AG$7&gt;=$F39,AG$7&lt;=$F39+$G39-1),2,IF(AND($C39="Milestone",AG$7&gt;=$F39,AG$7&lt;=$F39+$G39-1),1,""))</f>
        <v/>
      </c>
      <c r="AH32" s="23" t="str">
        <f ca="1">IF(AND($C39="Goal",AH$7&gt;=$F39,AH$7&lt;=$F39+$G39-1),2,IF(AND($C39="Milestone",AH$7&gt;=$F39,AH$7&lt;=$F39+$G39-1),1,""))</f>
        <v/>
      </c>
      <c r="AI32" s="23" t="str">
        <f ca="1">IF(AND($C39="Goal",AI$7&gt;=$F39,AI$7&lt;=$F39+$G39-1),2,IF(AND($C39="Milestone",AI$7&gt;=$F39,AI$7&lt;=$F39+$G39-1),1,""))</f>
        <v/>
      </c>
      <c r="AJ32" s="23" t="str">
        <f ca="1">IF(AND($C39="Goal",AJ$7&gt;=$F39,AJ$7&lt;=$F39+$G39-1),2,IF(AND($C39="Milestone",AJ$7&gt;=$F39,AJ$7&lt;=$F39+$G39-1),1,""))</f>
        <v/>
      </c>
      <c r="AK32" s="23" t="str">
        <f ca="1">IF(AND($C39="Goal",AK$7&gt;=$F39,AK$7&lt;=$F39+$G39-1),2,IF(AND($C39="Milestone",AK$7&gt;=$F39,AK$7&lt;=$F39+$G39-1),1,""))</f>
        <v/>
      </c>
      <c r="AL32" s="23" t="str">
        <f ca="1">IF(AND($C39="Goal",AL$7&gt;=$F39,AL$7&lt;=$F39+$G39-1),2,IF(AND($C39="Milestone",AL$7&gt;=$F39,AL$7&lt;=$F39+$G39-1),1,""))</f>
        <v/>
      </c>
      <c r="AM32" s="23" t="str">
        <f ca="1">IF(AND($C39="Goal",AM$7&gt;=$F39,AM$7&lt;=$F39+$G39-1),2,IF(AND($C39="Milestone",AM$7&gt;=$F39,AM$7&lt;=$F39+$G39-1),1,""))</f>
        <v/>
      </c>
      <c r="AN32" s="23" t="str">
        <f ca="1">IF(AND($C39="Goal",AN$7&gt;=$F39,AN$7&lt;=$F39+$G39-1),2,IF(AND($C39="Milestone",AN$7&gt;=$F39,AN$7&lt;=$F39+$G39-1),1,""))</f>
        <v/>
      </c>
      <c r="AO32" s="23" t="str">
        <f ca="1">IF(AND($C39="Goal",AO$7&gt;=$F39,AO$7&lt;=$F39+$G39-1),2,IF(AND($C39="Milestone",AO$7&gt;=$F39,AO$7&lt;=$F39+$G39-1),1,""))</f>
        <v/>
      </c>
      <c r="AP32" s="23" t="str">
        <f ca="1">IF(AND($C39="Goal",AP$7&gt;=$F39,AP$7&lt;=$F39+$G39-1),2,IF(AND($C39="Milestone",AP$7&gt;=$F39,AP$7&lt;=$F39+$G39-1),1,""))</f>
        <v/>
      </c>
      <c r="AQ32" s="23" t="str">
        <f ca="1">IF(AND($C39="Goal",AQ$7&gt;=$F39,AQ$7&lt;=$F39+$G39-1),2,IF(AND($C39="Milestone",AQ$7&gt;=$F39,AQ$7&lt;=$F39+$G39-1),1,""))</f>
        <v/>
      </c>
      <c r="AR32" s="23" t="str">
        <f ca="1">IF(AND($C39="Goal",AR$7&gt;=$F39,AR$7&lt;=$F39+$G39-1),2,IF(AND($C39="Milestone",AR$7&gt;=$F39,AR$7&lt;=$F39+$G39-1),1,""))</f>
        <v/>
      </c>
      <c r="AS32" s="23" t="str">
        <f ca="1">IF(AND($C39="Goal",AS$7&gt;=$F39,AS$7&lt;=$F39+$G39-1),2,IF(AND($C39="Milestone",AS$7&gt;=$F39,AS$7&lt;=$F39+$G39-1),1,""))</f>
        <v/>
      </c>
      <c r="AT32" s="23" t="str">
        <f ca="1">IF(AND($C39="Goal",AT$7&gt;=$F39,AT$7&lt;=$F39+$G39-1),2,IF(AND($C39="Milestone",AT$7&gt;=$F39,AT$7&lt;=$F39+$G39-1),1,""))</f>
        <v/>
      </c>
      <c r="AU32" s="23" t="str">
        <f ca="1">IF(AND($C39="Goal",AU$7&gt;=$F39,AU$7&lt;=$F39+$G39-1),2,IF(AND($C39="Milestone",AU$7&gt;=$F39,AU$7&lt;=$F39+$G39-1),1,""))</f>
        <v/>
      </c>
      <c r="AV32" s="23" t="str">
        <f ca="1">IF(AND($C39="Goal",AV$7&gt;=$F39,AV$7&lt;=$F39+$G39-1),2,IF(AND($C39="Milestone",AV$7&gt;=$F39,AV$7&lt;=$F39+$G39-1),1,""))</f>
        <v/>
      </c>
      <c r="AW32" s="23" t="str">
        <f ca="1">IF(AND($C39="Goal",AW$7&gt;=$F39,AW$7&lt;=$F39+$G39-1),2,IF(AND($C39="Milestone",AW$7&gt;=$F39,AW$7&lt;=$F39+$G39-1),1,""))</f>
        <v/>
      </c>
      <c r="AX32" s="23" t="str">
        <f ca="1">IF(AND($C39="Goal",AX$7&gt;=$F39,AX$7&lt;=$F39+$G39-1),2,IF(AND($C39="Milestone",AX$7&gt;=$F39,AX$7&lt;=$F39+$G39-1),1,""))</f>
        <v/>
      </c>
      <c r="AY32" s="23" t="str">
        <f ca="1">IF(AND($C39="Goal",AY$7&gt;=$F39,AY$7&lt;=$F39+$G39-1),2,IF(AND($C39="Milestone",AY$7&gt;=$F39,AY$7&lt;=$F39+$G39-1),1,""))</f>
        <v/>
      </c>
      <c r="AZ32" s="23" t="str">
        <f ca="1">IF(AND($C39="Goal",AZ$7&gt;=$F39,AZ$7&lt;=$F39+$G39-1),2,IF(AND($C39="Milestone",AZ$7&gt;=$F39,AZ$7&lt;=$F39+$G39-1),1,""))</f>
        <v/>
      </c>
      <c r="BA32" s="23" t="str">
        <f ca="1">IF(AND($C39="Goal",BA$7&gt;=$F39,BA$7&lt;=$F39+$G39-1),2,IF(AND($C39="Milestone",BA$7&gt;=$F39,BA$7&lt;=$F39+$G39-1),1,""))</f>
        <v/>
      </c>
      <c r="BB32" s="23" t="str">
        <f ca="1">IF(AND($C39="Goal",BB$7&gt;=$F39,BB$7&lt;=$F39+$G39-1),2,IF(AND($C39="Milestone",BB$7&gt;=$F39,BB$7&lt;=$F39+$G39-1),1,""))</f>
        <v/>
      </c>
      <c r="BC32" s="23" t="str">
        <f ca="1">IF(AND($C39="Goal",BC$7&gt;=$F39,BC$7&lt;=$F39+$G39-1),2,IF(AND($C39="Milestone",BC$7&gt;=$F39,BC$7&lt;=$F39+$G39-1),1,""))</f>
        <v/>
      </c>
      <c r="BD32" s="23" t="str">
        <f ca="1">IF(AND($C39="Goal",BD$7&gt;=$F39,BD$7&lt;=$F39+$G39-1),2,IF(AND($C39="Milestone",BD$7&gt;=$F39,BD$7&lt;=$F39+$G39-1),1,""))</f>
        <v/>
      </c>
      <c r="BE32" s="23" t="str">
        <f ca="1">IF(AND($C39="Goal",BE$7&gt;=$F39,BE$7&lt;=$F39+$G39-1),2,IF(AND($C39="Milestone",BE$7&gt;=$F39,BE$7&lt;=$F39+$G39-1),1,""))</f>
        <v/>
      </c>
      <c r="BF32" s="23" t="str">
        <f ca="1">IF(AND($C39="Goal",BF$7&gt;=$F39,BF$7&lt;=$F39+$G39-1),2,IF(AND($C39="Milestone",BF$7&gt;=$F39,BF$7&lt;=$F39+$G39-1),1,""))</f>
        <v/>
      </c>
      <c r="BG32" s="23" t="str">
        <f ca="1">IF(AND($C39="Goal",BG$7&gt;=$F39,BG$7&lt;=$F39+$G39-1),2,IF(AND($C39="Milestone",BG$7&gt;=$F39,BG$7&lt;=$F39+$G39-1),1,""))</f>
        <v/>
      </c>
      <c r="BH32" s="23" t="str">
        <f ca="1">IF(AND($C39="Goal",BH$7&gt;=$F39,BH$7&lt;=$F39+$G39-1),2,IF(AND($C39="Milestone",BH$7&gt;=$F39,BH$7&lt;=$F39+$G39-1),1,""))</f>
        <v/>
      </c>
      <c r="BI32" s="23" t="str">
        <f ca="1">IF(AND($C39="Goal",BI$7&gt;=$F39,BI$7&lt;=$F39+$G39-1),2,IF(AND($C39="Milestone",BI$7&gt;=$F39,BI$7&lt;=$F39+$G39-1),1,""))</f>
        <v/>
      </c>
      <c r="BJ32" s="23" t="str">
        <f ca="1">IF(AND($C39="Goal",BJ$7&gt;=$F39,BJ$7&lt;=$F39+$G39-1),2,IF(AND($C39="Milestone",BJ$7&gt;=$F39,BJ$7&lt;=$F39+$G39-1),1,""))</f>
        <v/>
      </c>
      <c r="BK32" s="23" t="str">
        <f ca="1">IF(AND($C39="Goal",BK$7&gt;=$F39,BK$7&lt;=$F39+$G39-1),2,IF(AND($C39="Milestone",BK$7&gt;=$F39,BK$7&lt;=$F39+$G39-1),1,""))</f>
        <v/>
      </c>
      <c r="BL32" s="23" t="str">
        <f ca="1">IF(AND($C39="Goal",BL$7&gt;=$F39,BL$7&lt;=$F39+$G39-1),2,IF(AND($C39="Milestone",BL$7&gt;=$F39,BL$7&lt;=$F39+$G39-1),1,""))</f>
        <v/>
      </c>
      <c r="BM32" s="24"/>
    </row>
    <row r="33" spans="1:65" s="1" customFormat="1" ht="40.15" customHeight="1" x14ac:dyDescent="0.25">
      <c r="A33" s="9"/>
      <c r="B33" s="133" t="s">
        <v>0</v>
      </c>
      <c r="C33" s="21" t="s">
        <v>16</v>
      </c>
      <c r="D33" s="21"/>
      <c r="E33" s="138"/>
      <c r="F33" s="139">
        <f ca="1">F32+15</f>
        <v>46146</v>
      </c>
      <c r="G33" s="140">
        <v>6</v>
      </c>
      <c r="H33" s="19"/>
      <c r="I33" s="43" t="str">
        <f ca="1">IF(AND($C40="Goal",I$7&gt;=$F40,I$7&lt;=$F40+$G40-1),2,IF(AND($C40="Milestone",I$7&gt;=$F40,I$7&lt;=$F40+$G40-1),1,""))</f>
        <v/>
      </c>
      <c r="J33" s="23" t="str">
        <f ca="1">IF(AND($C40="Goal",J$7&gt;=$F40,J$7&lt;=$F40+$G40-1),2,IF(AND($C40="Milestone",J$7&gt;=$F40,J$7&lt;=$F40+$G40-1),1,""))</f>
        <v/>
      </c>
      <c r="K33" s="23" t="str">
        <f ca="1">IF(AND($C40="Goal",K$7&gt;=$F40,K$7&lt;=$F40+$G40-1),2,IF(AND($C40="Milestone",K$7&gt;=$F40,K$7&lt;=$F40+$G40-1),1,""))</f>
        <v/>
      </c>
      <c r="L33" s="23" t="str">
        <f ca="1">IF(AND($C40="Goal",L$7&gt;=$F40,L$7&lt;=$F40+$G40-1),2,IF(AND($C40="Milestone",L$7&gt;=$F40,L$7&lt;=$F40+$G40-1),1,""))</f>
        <v/>
      </c>
      <c r="M33" s="23" t="str">
        <f ca="1">IF(AND($C40="Goal",M$7&gt;=$F40,M$7&lt;=$F40+$G40-1),2,IF(AND($C40="Milestone",M$7&gt;=$F40,M$7&lt;=$F40+$G40-1),1,""))</f>
        <v/>
      </c>
      <c r="N33" s="23" t="str">
        <f ca="1">IF(AND($C40="Goal",N$7&gt;=$F40,N$7&lt;=$F40+$G40-1),2,IF(AND($C40="Milestone",N$7&gt;=$F40,N$7&lt;=$F40+$G40-1),1,""))</f>
        <v/>
      </c>
      <c r="O33" s="23" t="str">
        <f ca="1">IF(AND($C40="Goal",O$7&gt;=$F40,O$7&lt;=$F40+$G40-1),2,IF(AND($C40="Milestone",O$7&gt;=$F40,O$7&lt;=$F40+$G40-1),1,""))</f>
        <v/>
      </c>
      <c r="P33" s="23" t="str">
        <f ca="1">IF(AND($C40="Goal",P$7&gt;=$F40,P$7&lt;=$F40+$G40-1),2,IF(AND($C40="Milestone",P$7&gt;=$F40,P$7&lt;=$F40+$G40-1),1,""))</f>
        <v/>
      </c>
      <c r="Q33" s="23" t="str">
        <f ca="1">IF(AND($C40="Goal",Q$7&gt;=$F40,Q$7&lt;=$F40+$G40-1),2,IF(AND($C40="Milestone",Q$7&gt;=$F40,Q$7&lt;=$F40+$G40-1),1,""))</f>
        <v/>
      </c>
      <c r="R33" s="23" t="str">
        <f ca="1">IF(AND($C40="Goal",R$7&gt;=$F40,R$7&lt;=$F40+$G40-1),2,IF(AND($C40="Milestone",R$7&gt;=$F40,R$7&lt;=$F40+$G40-1),1,""))</f>
        <v/>
      </c>
      <c r="S33" s="23" t="str">
        <f ca="1">IF(AND($C40="Goal",S$7&gt;=$F40,S$7&lt;=$F40+$G40-1),2,IF(AND($C40="Milestone",S$7&gt;=$F40,S$7&lt;=$F40+$G40-1),1,""))</f>
        <v/>
      </c>
      <c r="T33" s="23" t="str">
        <f ca="1">IF(AND($C40="Goal",T$7&gt;=$F40,T$7&lt;=$F40+$G40-1),2,IF(AND($C40="Milestone",T$7&gt;=$F40,T$7&lt;=$F40+$G40-1),1,""))</f>
        <v/>
      </c>
      <c r="U33" s="23" t="str">
        <f ca="1">IF(AND($C40="Goal",U$7&gt;=$F40,U$7&lt;=$F40+$G40-1),2,IF(AND($C40="Milestone",U$7&gt;=$F40,U$7&lt;=$F40+$G40-1),1,""))</f>
        <v/>
      </c>
      <c r="V33" s="23" t="str">
        <f ca="1">IF(AND($C40="Goal",V$7&gt;=$F40,V$7&lt;=$F40+$G40-1),2,IF(AND($C40="Milestone",V$7&gt;=$F40,V$7&lt;=$F40+$G40-1),1,""))</f>
        <v/>
      </c>
      <c r="W33" s="23" t="str">
        <f ca="1">IF(AND($C40="Goal",W$7&gt;=$F40,W$7&lt;=$F40+$G40-1),2,IF(AND($C40="Milestone",W$7&gt;=$F40,W$7&lt;=$F40+$G40-1),1,""))</f>
        <v/>
      </c>
      <c r="X33" s="23" t="str">
        <f ca="1">IF(AND($C40="Goal",X$7&gt;=$F40,X$7&lt;=$F40+$G40-1),2,IF(AND($C40="Milestone",X$7&gt;=$F40,X$7&lt;=$F40+$G40-1),1,""))</f>
        <v/>
      </c>
      <c r="Y33" s="23" t="str">
        <f ca="1">IF(AND($C40="Goal",Y$7&gt;=$F40,Y$7&lt;=$F40+$G40-1),2,IF(AND($C40="Milestone",Y$7&gt;=$F40,Y$7&lt;=$F40+$G40-1),1,""))</f>
        <v/>
      </c>
      <c r="Z33" s="23" t="str">
        <f ca="1">IF(AND($C40="Goal",Z$7&gt;=$F40,Z$7&lt;=$F40+$G40-1),2,IF(AND($C40="Milestone",Z$7&gt;=$F40,Z$7&lt;=$F40+$G40-1),1,""))</f>
        <v/>
      </c>
      <c r="AA33" s="23" t="str">
        <f ca="1">IF(AND($C40="Goal",AA$7&gt;=$F40,AA$7&lt;=$F40+$G40-1),2,IF(AND($C40="Milestone",AA$7&gt;=$F40,AA$7&lt;=$F40+$G40-1),1,""))</f>
        <v/>
      </c>
      <c r="AB33" s="23" t="str">
        <f ca="1">IF(AND($C40="Goal",AB$7&gt;=$F40,AB$7&lt;=$F40+$G40-1),2,IF(AND($C40="Milestone",AB$7&gt;=$F40,AB$7&lt;=$F40+$G40-1),1,""))</f>
        <v/>
      </c>
      <c r="AC33" s="23" t="str">
        <f ca="1">IF(AND($C40="Goal",AC$7&gt;=$F40,AC$7&lt;=$F40+$G40-1),2,IF(AND($C40="Milestone",AC$7&gt;=$F40,AC$7&lt;=$F40+$G40-1),1,""))</f>
        <v/>
      </c>
      <c r="AD33" s="23" t="str">
        <f ca="1">IF(AND($C40="Goal",AD$7&gt;=$F40,AD$7&lt;=$F40+$G40-1),2,IF(AND($C40="Milestone",AD$7&gt;=$F40,AD$7&lt;=$F40+$G40-1),1,""))</f>
        <v/>
      </c>
      <c r="AE33" s="23" t="str">
        <f ca="1">IF(AND($C40="Goal",AE$7&gt;=$F40,AE$7&lt;=$F40+$G40-1),2,IF(AND($C40="Milestone",AE$7&gt;=$F40,AE$7&lt;=$F40+$G40-1),1,""))</f>
        <v/>
      </c>
      <c r="AF33" s="23" t="str">
        <f ca="1">IF(AND($C40="Goal",AF$7&gt;=$F40,AF$7&lt;=$F40+$G40-1),2,IF(AND($C40="Milestone",AF$7&gt;=$F40,AF$7&lt;=$F40+$G40-1),1,""))</f>
        <v/>
      </c>
      <c r="AG33" s="23" t="str">
        <f ca="1">IF(AND($C40="Goal",AG$7&gt;=$F40,AG$7&lt;=$F40+$G40-1),2,IF(AND($C40="Milestone",AG$7&gt;=$F40,AG$7&lt;=$F40+$G40-1),1,""))</f>
        <v/>
      </c>
      <c r="AH33" s="23" t="str">
        <f ca="1">IF(AND($C40="Goal",AH$7&gt;=$F40,AH$7&lt;=$F40+$G40-1),2,IF(AND($C40="Milestone",AH$7&gt;=$F40,AH$7&lt;=$F40+$G40-1),1,""))</f>
        <v/>
      </c>
      <c r="AI33" s="23" t="str">
        <f ca="1">IF(AND($C40="Goal",AI$7&gt;=$F40,AI$7&lt;=$F40+$G40-1),2,IF(AND($C40="Milestone",AI$7&gt;=$F40,AI$7&lt;=$F40+$G40-1),1,""))</f>
        <v/>
      </c>
      <c r="AJ33" s="23" t="str">
        <f ca="1">IF(AND($C40="Goal",AJ$7&gt;=$F40,AJ$7&lt;=$F40+$G40-1),2,IF(AND($C40="Milestone",AJ$7&gt;=$F40,AJ$7&lt;=$F40+$G40-1),1,""))</f>
        <v/>
      </c>
      <c r="AK33" s="23" t="str">
        <f ca="1">IF(AND($C40="Goal",AK$7&gt;=$F40,AK$7&lt;=$F40+$G40-1),2,IF(AND($C40="Milestone",AK$7&gt;=$F40,AK$7&lt;=$F40+$G40-1),1,""))</f>
        <v/>
      </c>
      <c r="AL33" s="23" t="str">
        <f ca="1">IF(AND($C40="Goal",AL$7&gt;=$F40,AL$7&lt;=$F40+$G40-1),2,IF(AND($C40="Milestone",AL$7&gt;=$F40,AL$7&lt;=$F40+$G40-1),1,""))</f>
        <v/>
      </c>
      <c r="AM33" s="23" t="str">
        <f ca="1">IF(AND($C40="Goal",AM$7&gt;=$F40,AM$7&lt;=$F40+$G40-1),2,IF(AND($C40="Milestone",AM$7&gt;=$F40,AM$7&lt;=$F40+$G40-1),1,""))</f>
        <v/>
      </c>
      <c r="AN33" s="23" t="str">
        <f ca="1">IF(AND($C40="Goal",AN$7&gt;=$F40,AN$7&lt;=$F40+$G40-1),2,IF(AND($C40="Milestone",AN$7&gt;=$F40,AN$7&lt;=$F40+$G40-1),1,""))</f>
        <v/>
      </c>
      <c r="AO33" s="23" t="str">
        <f ca="1">IF(AND($C40="Goal",AO$7&gt;=$F40,AO$7&lt;=$F40+$G40-1),2,IF(AND($C40="Milestone",AO$7&gt;=$F40,AO$7&lt;=$F40+$G40-1),1,""))</f>
        <v/>
      </c>
      <c r="AP33" s="23" t="str">
        <f ca="1">IF(AND($C40="Goal",AP$7&gt;=$F40,AP$7&lt;=$F40+$G40-1),2,IF(AND($C40="Milestone",AP$7&gt;=$F40,AP$7&lt;=$F40+$G40-1),1,""))</f>
        <v/>
      </c>
      <c r="AQ33" s="23" t="str">
        <f ca="1">IF(AND($C40="Goal",AQ$7&gt;=$F40,AQ$7&lt;=$F40+$G40-1),2,IF(AND($C40="Milestone",AQ$7&gt;=$F40,AQ$7&lt;=$F40+$G40-1),1,""))</f>
        <v/>
      </c>
      <c r="AR33" s="23" t="str">
        <f ca="1">IF(AND($C40="Goal",AR$7&gt;=$F40,AR$7&lt;=$F40+$G40-1),2,IF(AND($C40="Milestone",AR$7&gt;=$F40,AR$7&lt;=$F40+$G40-1),1,""))</f>
        <v/>
      </c>
      <c r="AS33" s="23" t="str">
        <f ca="1">IF(AND($C40="Goal",AS$7&gt;=$F40,AS$7&lt;=$F40+$G40-1),2,IF(AND($C40="Milestone",AS$7&gt;=$F40,AS$7&lt;=$F40+$G40-1),1,""))</f>
        <v/>
      </c>
      <c r="AT33" s="23" t="str">
        <f ca="1">IF(AND($C40="Goal",AT$7&gt;=$F40,AT$7&lt;=$F40+$G40-1),2,IF(AND($C40="Milestone",AT$7&gt;=$F40,AT$7&lt;=$F40+$G40-1),1,""))</f>
        <v/>
      </c>
      <c r="AU33" s="23" t="str">
        <f ca="1">IF(AND($C40="Goal",AU$7&gt;=$F40,AU$7&lt;=$F40+$G40-1),2,IF(AND($C40="Milestone",AU$7&gt;=$F40,AU$7&lt;=$F40+$G40-1),1,""))</f>
        <v/>
      </c>
      <c r="AV33" s="23" t="str">
        <f ca="1">IF(AND($C40="Goal",AV$7&gt;=$F40,AV$7&lt;=$F40+$G40-1),2,IF(AND($C40="Milestone",AV$7&gt;=$F40,AV$7&lt;=$F40+$G40-1),1,""))</f>
        <v/>
      </c>
      <c r="AW33" s="23" t="str">
        <f ca="1">IF(AND($C40="Goal",AW$7&gt;=$F40,AW$7&lt;=$F40+$G40-1),2,IF(AND($C40="Milestone",AW$7&gt;=$F40,AW$7&lt;=$F40+$G40-1),1,""))</f>
        <v/>
      </c>
      <c r="AX33" s="23" t="str">
        <f ca="1">IF(AND($C40="Goal",AX$7&gt;=$F40,AX$7&lt;=$F40+$G40-1),2,IF(AND($C40="Milestone",AX$7&gt;=$F40,AX$7&lt;=$F40+$G40-1),1,""))</f>
        <v/>
      </c>
      <c r="AY33" s="23" t="str">
        <f ca="1">IF(AND($C40="Goal",AY$7&gt;=$F40,AY$7&lt;=$F40+$G40-1),2,IF(AND($C40="Milestone",AY$7&gt;=$F40,AY$7&lt;=$F40+$G40-1),1,""))</f>
        <v/>
      </c>
      <c r="AZ33" s="23" t="str">
        <f ca="1">IF(AND($C40="Goal",AZ$7&gt;=$F40,AZ$7&lt;=$F40+$G40-1),2,IF(AND($C40="Milestone",AZ$7&gt;=$F40,AZ$7&lt;=$F40+$G40-1),1,""))</f>
        <v/>
      </c>
      <c r="BA33" s="23" t="str">
        <f ca="1">IF(AND($C40="Goal",BA$7&gt;=$F40,BA$7&lt;=$F40+$G40-1),2,IF(AND($C40="Milestone",BA$7&gt;=$F40,BA$7&lt;=$F40+$G40-1),1,""))</f>
        <v/>
      </c>
      <c r="BB33" s="23" t="str">
        <f ca="1">IF(AND($C40="Goal",BB$7&gt;=$F40,BB$7&lt;=$F40+$G40-1),2,IF(AND($C40="Milestone",BB$7&gt;=$F40,BB$7&lt;=$F40+$G40-1),1,""))</f>
        <v/>
      </c>
      <c r="BC33" s="23" t="str">
        <f ca="1">IF(AND($C40="Goal",BC$7&gt;=$F40,BC$7&lt;=$F40+$G40-1),2,IF(AND($C40="Milestone",BC$7&gt;=$F40,BC$7&lt;=$F40+$G40-1),1,""))</f>
        <v/>
      </c>
      <c r="BD33" s="23" t="str">
        <f ca="1">IF(AND($C40="Goal",BD$7&gt;=$F40,BD$7&lt;=$F40+$G40-1),2,IF(AND($C40="Milestone",BD$7&gt;=$F40,BD$7&lt;=$F40+$G40-1),1,""))</f>
        <v/>
      </c>
      <c r="BE33" s="23" t="str">
        <f ca="1">IF(AND($C40="Goal",BE$7&gt;=$F40,BE$7&lt;=$F40+$G40-1),2,IF(AND($C40="Milestone",BE$7&gt;=$F40,BE$7&lt;=$F40+$G40-1),1,""))</f>
        <v/>
      </c>
      <c r="BF33" s="23" t="str">
        <f ca="1">IF(AND($C40="Goal",BF$7&gt;=$F40,BF$7&lt;=$F40+$G40-1),2,IF(AND($C40="Milestone",BF$7&gt;=$F40,BF$7&lt;=$F40+$G40-1),1,""))</f>
        <v/>
      </c>
      <c r="BG33" s="23" t="str">
        <f ca="1">IF(AND($C40="Goal",BG$7&gt;=$F40,BG$7&lt;=$F40+$G40-1),2,IF(AND($C40="Milestone",BG$7&gt;=$F40,BG$7&lt;=$F40+$G40-1),1,""))</f>
        <v/>
      </c>
      <c r="BH33" s="23" t="str">
        <f ca="1">IF(AND($C40="Goal",BH$7&gt;=$F40,BH$7&lt;=$F40+$G40-1),2,IF(AND($C40="Milestone",BH$7&gt;=$F40,BH$7&lt;=$F40+$G40-1),1,""))</f>
        <v/>
      </c>
      <c r="BI33" s="23" t="str">
        <f ca="1">IF(AND($C40="Goal",BI$7&gt;=$F40,BI$7&lt;=$F40+$G40-1),2,IF(AND($C40="Milestone",BI$7&gt;=$F40,BI$7&lt;=$F40+$G40-1),1,""))</f>
        <v/>
      </c>
      <c r="BJ33" s="23" t="str">
        <f ca="1">IF(AND($C40="Goal",BJ$7&gt;=$F40,BJ$7&lt;=$F40+$G40-1),2,IF(AND($C40="Milestone",BJ$7&gt;=$F40,BJ$7&lt;=$F40+$G40-1),1,""))</f>
        <v/>
      </c>
      <c r="BK33" s="23" t="str">
        <f ca="1">IF(AND($C40="Goal",BK$7&gt;=$F40,BK$7&lt;=$F40+$G40-1),2,IF(AND($C40="Milestone",BK$7&gt;=$F40,BK$7&lt;=$F40+$G40-1),1,""))</f>
        <v/>
      </c>
      <c r="BL33" s="23" t="str">
        <f ca="1">IF(AND($C40="Goal",BL$7&gt;=$F40,BL$7&lt;=$F40+$G40-1),2,IF(AND($C40="Milestone",BL$7&gt;=$F40,BL$7&lt;=$F40+$G40-1),1,""))</f>
        <v/>
      </c>
      <c r="BM33" s="24"/>
    </row>
    <row r="34" spans="1:65" s="1" customFormat="1" ht="40.15" customHeight="1" x14ac:dyDescent="0.25">
      <c r="A34" s="9"/>
      <c r="B34" s="133" t="s">
        <v>1</v>
      </c>
      <c r="C34" s="21" t="s">
        <v>8</v>
      </c>
      <c r="D34" s="21"/>
      <c r="E34" s="138"/>
      <c r="F34" s="139">
        <f>F28+22</f>
        <v>46116</v>
      </c>
      <c r="G34" s="140">
        <v>3</v>
      </c>
      <c r="H34" s="19"/>
      <c r="I34" s="43" t="str">
        <f ca="1">IF(AND($C41="Goal",I$7&gt;=$F41,I$7&lt;=$F41+$G41-1),2,IF(AND($C41="Milestone",I$7&gt;=$F41,I$7&lt;=$F41+$G41-1),1,""))</f>
        <v/>
      </c>
      <c r="J34" s="23" t="str">
        <f ca="1">IF(AND($C41="Goal",J$7&gt;=$F41,J$7&lt;=$F41+$G41-1),2,IF(AND($C41="Milestone",J$7&gt;=$F41,J$7&lt;=$F41+$G41-1),1,""))</f>
        <v/>
      </c>
      <c r="K34" s="23" t="str">
        <f ca="1">IF(AND($C41="Goal",K$7&gt;=$F41,K$7&lt;=$F41+$G41-1),2,IF(AND($C41="Milestone",K$7&gt;=$F41,K$7&lt;=$F41+$G41-1),1,""))</f>
        <v/>
      </c>
      <c r="L34" s="23" t="str">
        <f ca="1">IF(AND($C41="Goal",L$7&gt;=$F41,L$7&lt;=$F41+$G41-1),2,IF(AND($C41="Milestone",L$7&gt;=$F41,L$7&lt;=$F41+$G41-1),1,""))</f>
        <v/>
      </c>
      <c r="M34" s="23" t="str">
        <f ca="1">IF(AND($C41="Goal",M$7&gt;=$F41,M$7&lt;=$F41+$G41-1),2,IF(AND($C41="Milestone",M$7&gt;=$F41,M$7&lt;=$F41+$G41-1),1,""))</f>
        <v/>
      </c>
      <c r="N34" s="23" t="str">
        <f ca="1">IF(AND($C41="Goal",N$7&gt;=$F41,N$7&lt;=$F41+$G41-1),2,IF(AND($C41="Milestone",N$7&gt;=$F41,N$7&lt;=$F41+$G41-1),1,""))</f>
        <v/>
      </c>
      <c r="O34" s="23" t="str">
        <f ca="1">IF(AND($C41="Goal",O$7&gt;=$F41,O$7&lt;=$F41+$G41-1),2,IF(AND($C41="Milestone",O$7&gt;=$F41,O$7&lt;=$F41+$G41-1),1,""))</f>
        <v/>
      </c>
      <c r="P34" s="23" t="str">
        <f ca="1">IF(AND($C41="Goal",P$7&gt;=$F41,P$7&lt;=$F41+$G41-1),2,IF(AND($C41="Milestone",P$7&gt;=$F41,P$7&lt;=$F41+$G41-1),1,""))</f>
        <v/>
      </c>
      <c r="Q34" s="23" t="str">
        <f ca="1">IF(AND($C41="Goal",Q$7&gt;=$F41,Q$7&lt;=$F41+$G41-1),2,IF(AND($C41="Milestone",Q$7&gt;=$F41,Q$7&lt;=$F41+$G41-1),1,""))</f>
        <v/>
      </c>
      <c r="R34" s="23" t="str">
        <f ca="1">IF(AND($C41="Goal",R$7&gt;=$F41,R$7&lt;=$F41+$G41-1),2,IF(AND($C41="Milestone",R$7&gt;=$F41,R$7&lt;=$F41+$G41-1),1,""))</f>
        <v/>
      </c>
      <c r="S34" s="23" t="str">
        <f ca="1">IF(AND($C41="Goal",S$7&gt;=$F41,S$7&lt;=$F41+$G41-1),2,IF(AND($C41="Milestone",S$7&gt;=$F41,S$7&lt;=$F41+$G41-1),1,""))</f>
        <v/>
      </c>
      <c r="T34" s="23" t="str">
        <f ca="1">IF(AND($C41="Goal",T$7&gt;=$F41,T$7&lt;=$F41+$G41-1),2,IF(AND($C41="Milestone",T$7&gt;=$F41,T$7&lt;=$F41+$G41-1),1,""))</f>
        <v/>
      </c>
      <c r="U34" s="23" t="str">
        <f ca="1">IF(AND($C41="Goal",U$7&gt;=$F41,U$7&lt;=$F41+$G41-1),2,IF(AND($C41="Milestone",U$7&gt;=$F41,U$7&lt;=$F41+$G41-1),1,""))</f>
        <v/>
      </c>
      <c r="V34" s="23" t="str">
        <f ca="1">IF(AND($C41="Goal",V$7&gt;=$F41,V$7&lt;=$F41+$G41-1),2,IF(AND($C41="Milestone",V$7&gt;=$F41,V$7&lt;=$F41+$G41-1),1,""))</f>
        <v/>
      </c>
      <c r="W34" s="23" t="str">
        <f ca="1">IF(AND($C41="Goal",W$7&gt;=$F41,W$7&lt;=$F41+$G41-1),2,IF(AND($C41="Milestone",W$7&gt;=$F41,W$7&lt;=$F41+$G41-1),1,""))</f>
        <v/>
      </c>
      <c r="X34" s="23" t="str">
        <f ca="1">IF(AND($C41="Goal",X$7&gt;=$F41,X$7&lt;=$F41+$G41-1),2,IF(AND($C41="Milestone",X$7&gt;=$F41,X$7&lt;=$F41+$G41-1),1,""))</f>
        <v/>
      </c>
      <c r="Y34" s="23" t="str">
        <f ca="1">IF(AND($C41="Goal",Y$7&gt;=$F41,Y$7&lt;=$F41+$G41-1),2,IF(AND($C41="Milestone",Y$7&gt;=$F41,Y$7&lt;=$F41+$G41-1),1,""))</f>
        <v/>
      </c>
      <c r="Z34" s="23" t="str">
        <f ca="1">IF(AND($C41="Goal",Z$7&gt;=$F41,Z$7&lt;=$F41+$G41-1),2,IF(AND($C41="Milestone",Z$7&gt;=$F41,Z$7&lt;=$F41+$G41-1),1,""))</f>
        <v/>
      </c>
      <c r="AA34" s="23" t="str">
        <f ca="1">IF(AND($C41="Goal",AA$7&gt;=$F41,AA$7&lt;=$F41+$G41-1),2,IF(AND($C41="Milestone",AA$7&gt;=$F41,AA$7&lt;=$F41+$G41-1),1,""))</f>
        <v/>
      </c>
      <c r="AB34" s="23" t="str">
        <f ca="1">IF(AND($C41="Goal",AB$7&gt;=$F41,AB$7&lt;=$F41+$G41-1),2,IF(AND($C41="Milestone",AB$7&gt;=$F41,AB$7&lt;=$F41+$G41-1),1,""))</f>
        <v/>
      </c>
      <c r="AC34" s="23" t="str">
        <f ca="1">IF(AND($C41="Goal",AC$7&gt;=$F41,AC$7&lt;=$F41+$G41-1),2,IF(AND($C41="Milestone",AC$7&gt;=$F41,AC$7&lt;=$F41+$G41-1),1,""))</f>
        <v/>
      </c>
      <c r="AD34" s="23" t="str">
        <f ca="1">IF(AND($C41="Goal",AD$7&gt;=$F41,AD$7&lt;=$F41+$G41-1),2,IF(AND($C41="Milestone",AD$7&gt;=$F41,AD$7&lt;=$F41+$G41-1),1,""))</f>
        <v/>
      </c>
      <c r="AE34" s="23" t="str">
        <f ca="1">IF(AND($C41="Goal",AE$7&gt;=$F41,AE$7&lt;=$F41+$G41-1),2,IF(AND($C41="Milestone",AE$7&gt;=$F41,AE$7&lt;=$F41+$G41-1),1,""))</f>
        <v/>
      </c>
      <c r="AF34" s="23" t="str">
        <f ca="1">IF(AND($C41="Goal",AF$7&gt;=$F41,AF$7&lt;=$F41+$G41-1),2,IF(AND($C41="Milestone",AF$7&gt;=$F41,AF$7&lt;=$F41+$G41-1),1,""))</f>
        <v/>
      </c>
      <c r="AG34" s="23" t="str">
        <f ca="1">IF(AND($C41="Goal",AG$7&gt;=$F41,AG$7&lt;=$F41+$G41-1),2,IF(AND($C41="Milestone",AG$7&gt;=$F41,AG$7&lt;=$F41+$G41-1),1,""))</f>
        <v/>
      </c>
      <c r="AH34" s="23" t="str">
        <f ca="1">IF(AND($C41="Goal",AH$7&gt;=$F41,AH$7&lt;=$F41+$G41-1),2,IF(AND($C41="Milestone",AH$7&gt;=$F41,AH$7&lt;=$F41+$G41-1),1,""))</f>
        <v/>
      </c>
      <c r="AI34" s="23" t="str">
        <f ca="1">IF(AND($C41="Goal",AI$7&gt;=$F41,AI$7&lt;=$F41+$G41-1),2,IF(AND($C41="Milestone",AI$7&gt;=$F41,AI$7&lt;=$F41+$G41-1),1,""))</f>
        <v/>
      </c>
      <c r="AJ34" s="23" t="str">
        <f ca="1">IF(AND($C41="Goal",AJ$7&gt;=$F41,AJ$7&lt;=$F41+$G41-1),2,IF(AND($C41="Milestone",AJ$7&gt;=$F41,AJ$7&lt;=$F41+$G41-1),1,""))</f>
        <v/>
      </c>
      <c r="AK34" s="23" t="str">
        <f ca="1">IF(AND($C41="Goal",AK$7&gt;=$F41,AK$7&lt;=$F41+$G41-1),2,IF(AND($C41="Milestone",AK$7&gt;=$F41,AK$7&lt;=$F41+$G41-1),1,""))</f>
        <v/>
      </c>
      <c r="AL34" s="23" t="str">
        <f ca="1">IF(AND($C41="Goal",AL$7&gt;=$F41,AL$7&lt;=$F41+$G41-1),2,IF(AND($C41="Milestone",AL$7&gt;=$F41,AL$7&lt;=$F41+$G41-1),1,""))</f>
        <v/>
      </c>
      <c r="AM34" s="23" t="str">
        <f ca="1">IF(AND($C41="Goal",AM$7&gt;=$F41,AM$7&lt;=$F41+$G41-1),2,IF(AND($C41="Milestone",AM$7&gt;=$F41,AM$7&lt;=$F41+$G41-1),1,""))</f>
        <v/>
      </c>
      <c r="AN34" s="23" t="str">
        <f ca="1">IF(AND($C41="Goal",AN$7&gt;=$F41,AN$7&lt;=$F41+$G41-1),2,IF(AND($C41="Milestone",AN$7&gt;=$F41,AN$7&lt;=$F41+$G41-1),1,""))</f>
        <v/>
      </c>
      <c r="AO34" s="23" t="str">
        <f ca="1">IF(AND($C41="Goal",AO$7&gt;=$F41,AO$7&lt;=$F41+$G41-1),2,IF(AND($C41="Milestone",AO$7&gt;=$F41,AO$7&lt;=$F41+$G41-1),1,""))</f>
        <v/>
      </c>
      <c r="AP34" s="23" t="str">
        <f ca="1">IF(AND($C41="Goal",AP$7&gt;=$F41,AP$7&lt;=$F41+$G41-1),2,IF(AND($C41="Milestone",AP$7&gt;=$F41,AP$7&lt;=$F41+$G41-1),1,""))</f>
        <v/>
      </c>
      <c r="AQ34" s="23" t="str">
        <f ca="1">IF(AND($C41="Goal",AQ$7&gt;=$F41,AQ$7&lt;=$F41+$G41-1),2,IF(AND($C41="Milestone",AQ$7&gt;=$F41,AQ$7&lt;=$F41+$G41-1),1,""))</f>
        <v/>
      </c>
      <c r="AR34" s="23" t="str">
        <f ca="1">IF(AND($C41="Goal",AR$7&gt;=$F41,AR$7&lt;=$F41+$G41-1),2,IF(AND($C41="Milestone",AR$7&gt;=$F41,AR$7&lt;=$F41+$G41-1),1,""))</f>
        <v/>
      </c>
      <c r="AS34" s="23" t="str">
        <f ca="1">IF(AND($C41="Goal",AS$7&gt;=$F41,AS$7&lt;=$F41+$G41-1),2,IF(AND($C41="Milestone",AS$7&gt;=$F41,AS$7&lt;=$F41+$G41-1),1,""))</f>
        <v/>
      </c>
      <c r="AT34" s="23" t="str">
        <f ca="1">IF(AND($C41="Goal",AT$7&gt;=$F41,AT$7&lt;=$F41+$G41-1),2,IF(AND($C41="Milestone",AT$7&gt;=$F41,AT$7&lt;=$F41+$G41-1),1,""))</f>
        <v/>
      </c>
      <c r="AU34" s="23" t="str">
        <f ca="1">IF(AND($C41="Goal",AU$7&gt;=$F41,AU$7&lt;=$F41+$G41-1),2,IF(AND($C41="Milestone",AU$7&gt;=$F41,AU$7&lt;=$F41+$G41-1),1,""))</f>
        <v/>
      </c>
      <c r="AV34" s="23" t="str">
        <f ca="1">IF(AND($C41="Goal",AV$7&gt;=$F41,AV$7&lt;=$F41+$G41-1),2,IF(AND($C41="Milestone",AV$7&gt;=$F41,AV$7&lt;=$F41+$G41-1),1,""))</f>
        <v/>
      </c>
      <c r="AW34" s="23" t="str">
        <f ca="1">IF(AND($C41="Goal",AW$7&gt;=$F41,AW$7&lt;=$F41+$G41-1),2,IF(AND($C41="Milestone",AW$7&gt;=$F41,AW$7&lt;=$F41+$G41-1),1,""))</f>
        <v/>
      </c>
      <c r="AX34" s="23" t="str">
        <f ca="1">IF(AND($C41="Goal",AX$7&gt;=$F41,AX$7&lt;=$F41+$G41-1),2,IF(AND($C41="Milestone",AX$7&gt;=$F41,AX$7&lt;=$F41+$G41-1),1,""))</f>
        <v/>
      </c>
      <c r="AY34" s="23" t="str">
        <f ca="1">IF(AND($C41="Goal",AY$7&gt;=$F41,AY$7&lt;=$F41+$G41-1),2,IF(AND($C41="Milestone",AY$7&gt;=$F41,AY$7&lt;=$F41+$G41-1),1,""))</f>
        <v/>
      </c>
      <c r="AZ34" s="23" t="str">
        <f ca="1">IF(AND($C41="Goal",AZ$7&gt;=$F41,AZ$7&lt;=$F41+$G41-1),2,IF(AND($C41="Milestone",AZ$7&gt;=$F41,AZ$7&lt;=$F41+$G41-1),1,""))</f>
        <v/>
      </c>
      <c r="BA34" s="23" t="str">
        <f ca="1">IF(AND($C41="Goal",BA$7&gt;=$F41,BA$7&lt;=$F41+$G41-1),2,IF(AND($C41="Milestone",BA$7&gt;=$F41,BA$7&lt;=$F41+$G41-1),1,""))</f>
        <v/>
      </c>
      <c r="BB34" s="23" t="str">
        <f ca="1">IF(AND($C41="Goal",BB$7&gt;=$F41,BB$7&lt;=$F41+$G41-1),2,IF(AND($C41="Milestone",BB$7&gt;=$F41,BB$7&lt;=$F41+$G41-1),1,""))</f>
        <v/>
      </c>
      <c r="BC34" s="23" t="str">
        <f ca="1">IF(AND($C41="Goal",BC$7&gt;=$F41,BC$7&lt;=$F41+$G41-1),2,IF(AND($C41="Milestone",BC$7&gt;=$F41,BC$7&lt;=$F41+$G41-1),1,""))</f>
        <v/>
      </c>
      <c r="BD34" s="23" t="str">
        <f ca="1">IF(AND($C41="Goal",BD$7&gt;=$F41,BD$7&lt;=$F41+$G41-1),2,IF(AND($C41="Milestone",BD$7&gt;=$F41,BD$7&lt;=$F41+$G41-1),1,""))</f>
        <v/>
      </c>
      <c r="BE34" s="23" t="str">
        <f ca="1">IF(AND($C41="Goal",BE$7&gt;=$F41,BE$7&lt;=$F41+$G41-1),2,IF(AND($C41="Milestone",BE$7&gt;=$F41,BE$7&lt;=$F41+$G41-1),1,""))</f>
        <v/>
      </c>
      <c r="BF34" s="23" t="str">
        <f ca="1">IF(AND($C41="Goal",BF$7&gt;=$F41,BF$7&lt;=$F41+$G41-1),2,IF(AND($C41="Milestone",BF$7&gt;=$F41,BF$7&lt;=$F41+$G41-1),1,""))</f>
        <v/>
      </c>
      <c r="BG34" s="23" t="str">
        <f ca="1">IF(AND($C41="Goal",BG$7&gt;=$F41,BG$7&lt;=$F41+$G41-1),2,IF(AND($C41="Milestone",BG$7&gt;=$F41,BG$7&lt;=$F41+$G41-1),1,""))</f>
        <v/>
      </c>
      <c r="BH34" s="23" t="str">
        <f ca="1">IF(AND($C41="Goal",BH$7&gt;=$F41,BH$7&lt;=$F41+$G41-1),2,IF(AND($C41="Milestone",BH$7&gt;=$F41,BH$7&lt;=$F41+$G41-1),1,""))</f>
        <v/>
      </c>
      <c r="BI34" s="23" t="str">
        <f ca="1">IF(AND($C41="Goal",BI$7&gt;=$F41,BI$7&lt;=$F41+$G41-1),2,IF(AND($C41="Milestone",BI$7&gt;=$F41,BI$7&lt;=$F41+$G41-1),1,""))</f>
        <v/>
      </c>
      <c r="BJ34" s="23" t="str">
        <f ca="1">IF(AND($C41="Goal",BJ$7&gt;=$F41,BJ$7&lt;=$F41+$G41-1),2,IF(AND($C41="Milestone",BJ$7&gt;=$F41,BJ$7&lt;=$F41+$G41-1),1,""))</f>
        <v/>
      </c>
      <c r="BK34" s="23" t="str">
        <f ca="1">IF(AND($C41="Goal",BK$7&gt;=$F41,BK$7&lt;=$F41+$G41-1),2,IF(AND($C41="Milestone",BK$7&gt;=$F41,BK$7&lt;=$F41+$G41-1),1,""))</f>
        <v/>
      </c>
      <c r="BL34" s="23" t="str">
        <f ca="1">IF(AND($C41="Goal",BL$7&gt;=$F41,BL$7&lt;=$F41+$G41-1),2,IF(AND($C41="Milestone",BL$7&gt;=$F41,BL$7&lt;=$F41+$G41-1),1,""))</f>
        <v/>
      </c>
      <c r="BM34" s="24"/>
    </row>
    <row r="35" spans="1:65" s="1" customFormat="1" ht="40.15" customHeight="1" x14ac:dyDescent="0.25">
      <c r="A35" s="9"/>
      <c r="B35" s="133" t="s">
        <v>2</v>
      </c>
      <c r="C35" s="21" t="s">
        <v>14</v>
      </c>
      <c r="D35" s="21"/>
      <c r="E35" s="138"/>
      <c r="F35" s="139">
        <f>F17</f>
        <v>46085</v>
      </c>
      <c r="G35" s="140">
        <v>19</v>
      </c>
      <c r="H35" s="19"/>
      <c r="I35" s="43" t="str">
        <f ca="1">IF(AND($C42="Goal",I$7&gt;=$F42,I$7&lt;=$F42+$G42-1),2,IF(AND($C42="Milestone",I$7&gt;=$F42,I$7&lt;=$F42+$G42-1),1,""))</f>
        <v/>
      </c>
      <c r="J35" s="23" t="str">
        <f ca="1">IF(AND($C42="Goal",J$7&gt;=$F42,J$7&lt;=$F42+$G42-1),2,IF(AND($C42="Milestone",J$7&gt;=$F42,J$7&lt;=$F42+$G42-1),1,""))</f>
        <v/>
      </c>
      <c r="K35" s="23" t="str">
        <f ca="1">IF(AND($C42="Goal",K$7&gt;=$F42,K$7&lt;=$F42+$G42-1),2,IF(AND($C42="Milestone",K$7&gt;=$F42,K$7&lt;=$F42+$G42-1),1,""))</f>
        <v/>
      </c>
      <c r="L35" s="23" t="str">
        <f ca="1">IF(AND($C42="Goal",L$7&gt;=$F42,L$7&lt;=$F42+$G42-1),2,IF(AND($C42="Milestone",L$7&gt;=$F42,L$7&lt;=$F42+$G42-1),1,""))</f>
        <v/>
      </c>
      <c r="M35" s="23" t="str">
        <f ca="1">IF(AND($C42="Goal",M$7&gt;=$F42,M$7&lt;=$F42+$G42-1),2,IF(AND($C42="Milestone",M$7&gt;=$F42,M$7&lt;=$F42+$G42-1),1,""))</f>
        <v/>
      </c>
      <c r="N35" s="23" t="str">
        <f ca="1">IF(AND($C42="Goal",N$7&gt;=$F42,N$7&lt;=$F42+$G42-1),2,IF(AND($C42="Milestone",N$7&gt;=$F42,N$7&lt;=$F42+$G42-1),1,""))</f>
        <v/>
      </c>
      <c r="O35" s="23" t="str">
        <f ca="1">IF(AND($C42="Goal",O$7&gt;=$F42,O$7&lt;=$F42+$G42-1),2,IF(AND($C42="Milestone",O$7&gt;=$F42,O$7&lt;=$F42+$G42-1),1,""))</f>
        <v/>
      </c>
      <c r="P35" s="23" t="str">
        <f ca="1">IF(AND($C42="Goal",P$7&gt;=$F42,P$7&lt;=$F42+$G42-1),2,IF(AND($C42="Milestone",P$7&gt;=$F42,P$7&lt;=$F42+$G42-1),1,""))</f>
        <v/>
      </c>
      <c r="Q35" s="23" t="str">
        <f ca="1">IF(AND($C42="Goal",Q$7&gt;=$F42,Q$7&lt;=$F42+$G42-1),2,IF(AND($C42="Milestone",Q$7&gt;=$F42,Q$7&lt;=$F42+$G42-1),1,""))</f>
        <v/>
      </c>
      <c r="R35" s="23" t="str">
        <f ca="1">IF(AND($C42="Goal",R$7&gt;=$F42,R$7&lt;=$F42+$G42-1),2,IF(AND($C42="Milestone",R$7&gt;=$F42,R$7&lt;=$F42+$G42-1),1,""))</f>
        <v/>
      </c>
      <c r="S35" s="23" t="str">
        <f ca="1">IF(AND($C42="Goal",S$7&gt;=$F42,S$7&lt;=$F42+$G42-1),2,IF(AND($C42="Milestone",S$7&gt;=$F42,S$7&lt;=$F42+$G42-1),1,""))</f>
        <v/>
      </c>
      <c r="T35" s="23" t="str">
        <f ca="1">IF(AND($C42="Goal",T$7&gt;=$F42,T$7&lt;=$F42+$G42-1),2,IF(AND($C42="Milestone",T$7&gt;=$F42,T$7&lt;=$F42+$G42-1),1,""))</f>
        <v/>
      </c>
      <c r="U35" s="23" t="str">
        <f ca="1">IF(AND($C42="Goal",U$7&gt;=$F42,U$7&lt;=$F42+$G42-1),2,IF(AND($C42="Milestone",U$7&gt;=$F42,U$7&lt;=$F42+$G42-1),1,""))</f>
        <v/>
      </c>
      <c r="V35" s="23" t="str">
        <f ca="1">IF(AND($C42="Goal",V$7&gt;=$F42,V$7&lt;=$F42+$G42-1),2,IF(AND($C42="Milestone",V$7&gt;=$F42,V$7&lt;=$F42+$G42-1),1,""))</f>
        <v/>
      </c>
      <c r="W35" s="23" t="str">
        <f ca="1">IF(AND($C42="Goal",W$7&gt;=$F42,W$7&lt;=$F42+$G42-1),2,IF(AND($C42="Milestone",W$7&gt;=$F42,W$7&lt;=$F42+$G42-1),1,""))</f>
        <v/>
      </c>
      <c r="X35" s="23" t="str">
        <f ca="1">IF(AND($C42="Goal",X$7&gt;=$F42,X$7&lt;=$F42+$G42-1),2,IF(AND($C42="Milestone",X$7&gt;=$F42,X$7&lt;=$F42+$G42-1),1,""))</f>
        <v/>
      </c>
      <c r="Y35" s="23" t="str">
        <f ca="1">IF(AND($C42="Goal",Y$7&gt;=$F42,Y$7&lt;=$F42+$G42-1),2,IF(AND($C42="Milestone",Y$7&gt;=$F42,Y$7&lt;=$F42+$G42-1),1,""))</f>
        <v/>
      </c>
      <c r="Z35" s="23" t="str">
        <f ca="1">IF(AND($C42="Goal",Z$7&gt;=$F42,Z$7&lt;=$F42+$G42-1),2,IF(AND($C42="Milestone",Z$7&gt;=$F42,Z$7&lt;=$F42+$G42-1),1,""))</f>
        <v/>
      </c>
      <c r="AA35" s="23" t="str">
        <f ca="1">IF(AND($C42="Goal",AA$7&gt;=$F42,AA$7&lt;=$F42+$G42-1),2,IF(AND($C42="Milestone",AA$7&gt;=$F42,AA$7&lt;=$F42+$G42-1),1,""))</f>
        <v/>
      </c>
      <c r="AB35" s="23" t="str">
        <f ca="1">IF(AND($C42="Goal",AB$7&gt;=$F42,AB$7&lt;=$F42+$G42-1),2,IF(AND($C42="Milestone",AB$7&gt;=$F42,AB$7&lt;=$F42+$G42-1),1,""))</f>
        <v/>
      </c>
      <c r="AC35" s="23" t="str">
        <f ca="1">IF(AND($C42="Goal",AC$7&gt;=$F42,AC$7&lt;=$F42+$G42-1),2,IF(AND($C42="Milestone",AC$7&gt;=$F42,AC$7&lt;=$F42+$G42-1),1,""))</f>
        <v/>
      </c>
      <c r="AD35" s="23" t="str">
        <f ca="1">IF(AND($C42="Goal",AD$7&gt;=$F42,AD$7&lt;=$F42+$G42-1),2,IF(AND($C42="Milestone",AD$7&gt;=$F42,AD$7&lt;=$F42+$G42-1),1,""))</f>
        <v/>
      </c>
      <c r="AE35" s="23" t="str">
        <f ca="1">IF(AND($C42="Goal",AE$7&gt;=$F42,AE$7&lt;=$F42+$G42-1),2,IF(AND($C42="Milestone",AE$7&gt;=$F42,AE$7&lt;=$F42+$G42-1),1,""))</f>
        <v/>
      </c>
      <c r="AF35" s="23" t="str">
        <f ca="1">IF(AND($C42="Goal",AF$7&gt;=$F42,AF$7&lt;=$F42+$G42-1),2,IF(AND($C42="Milestone",AF$7&gt;=$F42,AF$7&lt;=$F42+$G42-1),1,""))</f>
        <v/>
      </c>
      <c r="AG35" s="23" t="str">
        <f ca="1">IF(AND($C42="Goal",AG$7&gt;=$F42,AG$7&lt;=$F42+$G42-1),2,IF(AND($C42="Milestone",AG$7&gt;=$F42,AG$7&lt;=$F42+$G42-1),1,""))</f>
        <v/>
      </c>
      <c r="AH35" s="23" t="str">
        <f ca="1">IF(AND($C42="Goal",AH$7&gt;=$F42,AH$7&lt;=$F42+$G42-1),2,IF(AND($C42="Milestone",AH$7&gt;=$F42,AH$7&lt;=$F42+$G42-1),1,""))</f>
        <v/>
      </c>
      <c r="AI35" s="23" t="str">
        <f ca="1">IF(AND($C42="Goal",AI$7&gt;=$F42,AI$7&lt;=$F42+$G42-1),2,IF(AND($C42="Milestone",AI$7&gt;=$F42,AI$7&lt;=$F42+$G42-1),1,""))</f>
        <v/>
      </c>
      <c r="AJ35" s="23" t="str">
        <f ca="1">IF(AND($C42="Goal",AJ$7&gt;=$F42,AJ$7&lt;=$F42+$G42-1),2,IF(AND($C42="Milestone",AJ$7&gt;=$F42,AJ$7&lt;=$F42+$G42-1),1,""))</f>
        <v/>
      </c>
      <c r="AK35" s="23" t="str">
        <f ca="1">IF(AND($C42="Goal",AK$7&gt;=$F42,AK$7&lt;=$F42+$G42-1),2,IF(AND($C42="Milestone",AK$7&gt;=$F42,AK$7&lt;=$F42+$G42-1),1,""))</f>
        <v/>
      </c>
      <c r="AL35" s="23" t="str">
        <f ca="1">IF(AND($C42="Goal",AL$7&gt;=$F42,AL$7&lt;=$F42+$G42-1),2,IF(AND($C42="Milestone",AL$7&gt;=$F42,AL$7&lt;=$F42+$G42-1),1,""))</f>
        <v/>
      </c>
      <c r="AM35" s="23" t="str">
        <f ca="1">IF(AND($C42="Goal",AM$7&gt;=$F42,AM$7&lt;=$F42+$G42-1),2,IF(AND($C42="Milestone",AM$7&gt;=$F42,AM$7&lt;=$F42+$G42-1),1,""))</f>
        <v/>
      </c>
      <c r="AN35" s="23" t="str">
        <f ca="1">IF(AND($C42="Goal",AN$7&gt;=$F42,AN$7&lt;=$F42+$G42-1),2,IF(AND($C42="Milestone",AN$7&gt;=$F42,AN$7&lt;=$F42+$G42-1),1,""))</f>
        <v/>
      </c>
      <c r="AO35" s="23" t="str">
        <f ca="1">IF(AND($C42="Goal",AO$7&gt;=$F42,AO$7&lt;=$F42+$G42-1),2,IF(AND($C42="Milestone",AO$7&gt;=$F42,AO$7&lt;=$F42+$G42-1),1,""))</f>
        <v/>
      </c>
      <c r="AP35" s="23" t="str">
        <f ca="1">IF(AND($C42="Goal",AP$7&gt;=$F42,AP$7&lt;=$F42+$G42-1),2,IF(AND($C42="Milestone",AP$7&gt;=$F42,AP$7&lt;=$F42+$G42-1),1,""))</f>
        <v/>
      </c>
      <c r="AQ35" s="23" t="str">
        <f ca="1">IF(AND($C42="Goal",AQ$7&gt;=$F42,AQ$7&lt;=$F42+$G42-1),2,IF(AND($C42="Milestone",AQ$7&gt;=$F42,AQ$7&lt;=$F42+$G42-1),1,""))</f>
        <v/>
      </c>
      <c r="AR35" s="23" t="str">
        <f ca="1">IF(AND($C42="Goal",AR$7&gt;=$F42,AR$7&lt;=$F42+$G42-1),2,IF(AND($C42="Milestone",AR$7&gt;=$F42,AR$7&lt;=$F42+$G42-1),1,""))</f>
        <v/>
      </c>
      <c r="AS35" s="23" t="str">
        <f ca="1">IF(AND($C42="Goal",AS$7&gt;=$F42,AS$7&lt;=$F42+$G42-1),2,IF(AND($C42="Milestone",AS$7&gt;=$F42,AS$7&lt;=$F42+$G42-1),1,""))</f>
        <v/>
      </c>
      <c r="AT35" s="23" t="str">
        <f ca="1">IF(AND($C42="Goal",AT$7&gt;=$F42,AT$7&lt;=$F42+$G42-1),2,IF(AND($C42="Milestone",AT$7&gt;=$F42,AT$7&lt;=$F42+$G42-1),1,""))</f>
        <v/>
      </c>
      <c r="AU35" s="23" t="str">
        <f ca="1">IF(AND($C42="Goal",AU$7&gt;=$F42,AU$7&lt;=$F42+$G42-1),2,IF(AND($C42="Milestone",AU$7&gt;=$F42,AU$7&lt;=$F42+$G42-1),1,""))</f>
        <v/>
      </c>
      <c r="AV35" s="23" t="str">
        <f ca="1">IF(AND($C42="Goal",AV$7&gt;=$F42,AV$7&lt;=$F42+$G42-1),2,IF(AND($C42="Milestone",AV$7&gt;=$F42,AV$7&lt;=$F42+$G42-1),1,""))</f>
        <v/>
      </c>
      <c r="AW35" s="23" t="str">
        <f ca="1">IF(AND($C42="Goal",AW$7&gt;=$F42,AW$7&lt;=$F42+$G42-1),2,IF(AND($C42="Milestone",AW$7&gt;=$F42,AW$7&lt;=$F42+$G42-1),1,""))</f>
        <v/>
      </c>
      <c r="AX35" s="23" t="str">
        <f ca="1">IF(AND($C42="Goal",AX$7&gt;=$F42,AX$7&lt;=$F42+$G42-1),2,IF(AND($C42="Milestone",AX$7&gt;=$F42,AX$7&lt;=$F42+$G42-1),1,""))</f>
        <v/>
      </c>
      <c r="AY35" s="23" t="str">
        <f ca="1">IF(AND($C42="Goal",AY$7&gt;=$F42,AY$7&lt;=$F42+$G42-1),2,IF(AND($C42="Milestone",AY$7&gt;=$F42,AY$7&lt;=$F42+$G42-1),1,""))</f>
        <v/>
      </c>
      <c r="AZ35" s="23" t="str">
        <f ca="1">IF(AND($C42="Goal",AZ$7&gt;=$F42,AZ$7&lt;=$F42+$G42-1),2,IF(AND($C42="Milestone",AZ$7&gt;=$F42,AZ$7&lt;=$F42+$G42-1),1,""))</f>
        <v/>
      </c>
      <c r="BA35" s="23" t="str">
        <f ca="1">IF(AND($C42="Goal",BA$7&gt;=$F42,BA$7&lt;=$F42+$G42-1),2,IF(AND($C42="Milestone",BA$7&gt;=$F42,BA$7&lt;=$F42+$G42-1),1,""))</f>
        <v/>
      </c>
      <c r="BB35" s="23" t="str">
        <f ca="1">IF(AND($C42="Goal",BB$7&gt;=$F42,BB$7&lt;=$F42+$G42-1),2,IF(AND($C42="Milestone",BB$7&gt;=$F42,BB$7&lt;=$F42+$G42-1),1,""))</f>
        <v/>
      </c>
      <c r="BC35" s="23" t="str">
        <f ca="1">IF(AND($C42="Goal",BC$7&gt;=$F42,BC$7&lt;=$F42+$G42-1),2,IF(AND($C42="Milestone",BC$7&gt;=$F42,BC$7&lt;=$F42+$G42-1),1,""))</f>
        <v/>
      </c>
      <c r="BD35" s="23" t="str">
        <f ca="1">IF(AND($C42="Goal",BD$7&gt;=$F42,BD$7&lt;=$F42+$G42-1),2,IF(AND($C42="Milestone",BD$7&gt;=$F42,BD$7&lt;=$F42+$G42-1),1,""))</f>
        <v/>
      </c>
      <c r="BE35" s="23" t="str">
        <f ca="1">IF(AND($C42="Goal",BE$7&gt;=$F42,BE$7&lt;=$F42+$G42-1),2,IF(AND($C42="Milestone",BE$7&gt;=$F42,BE$7&lt;=$F42+$G42-1),1,""))</f>
        <v/>
      </c>
      <c r="BF35" s="23" t="str">
        <f ca="1">IF(AND($C42="Goal",BF$7&gt;=$F42,BF$7&lt;=$F42+$G42-1),2,IF(AND($C42="Milestone",BF$7&gt;=$F42,BF$7&lt;=$F42+$G42-1),1,""))</f>
        <v/>
      </c>
      <c r="BG35" s="23" t="str">
        <f ca="1">IF(AND($C42="Goal",BG$7&gt;=$F42,BG$7&lt;=$F42+$G42-1),2,IF(AND($C42="Milestone",BG$7&gt;=$F42,BG$7&lt;=$F42+$G42-1),1,""))</f>
        <v/>
      </c>
      <c r="BH35" s="23" t="str">
        <f ca="1">IF(AND($C42="Goal",BH$7&gt;=$F42,BH$7&lt;=$F42+$G42-1),2,IF(AND($C42="Milestone",BH$7&gt;=$F42,BH$7&lt;=$F42+$G42-1),1,""))</f>
        <v/>
      </c>
      <c r="BI35" s="23" t="str">
        <f ca="1">IF(AND($C42="Goal",BI$7&gt;=$F42,BI$7&lt;=$F42+$G42-1),2,IF(AND($C42="Milestone",BI$7&gt;=$F42,BI$7&lt;=$F42+$G42-1),1,""))</f>
        <v/>
      </c>
      <c r="BJ35" s="23" t="str">
        <f ca="1">IF(AND($C42="Goal",BJ$7&gt;=$F42,BJ$7&lt;=$F42+$G42-1),2,IF(AND($C42="Milestone",BJ$7&gt;=$F42,BJ$7&lt;=$F42+$G42-1),1,""))</f>
        <v/>
      </c>
      <c r="BK35" s="23" t="str">
        <f ca="1">IF(AND($C42="Goal",BK$7&gt;=$F42,BK$7&lt;=$F42+$G42-1),2,IF(AND($C42="Milestone",BK$7&gt;=$F42,BK$7&lt;=$F42+$G42-1),1,""))</f>
        <v/>
      </c>
      <c r="BL35" s="23" t="str">
        <f ca="1">IF(AND($C42="Goal",BL$7&gt;=$F42,BL$7&lt;=$F42+$G42-1),2,IF(AND($C42="Milestone",BL$7&gt;=$F42,BL$7&lt;=$F42+$G42-1),1,""))</f>
        <v/>
      </c>
      <c r="BM35" s="60"/>
    </row>
    <row r="36" spans="1:65" s="1" customFormat="1" ht="40.15" customHeight="1" x14ac:dyDescent="0.25">
      <c r="A36" s="10"/>
      <c r="B36" s="137" t="s">
        <v>32</v>
      </c>
      <c r="C36" s="21"/>
      <c r="D36" s="21"/>
      <c r="E36" s="138"/>
      <c r="F36" s="139"/>
      <c r="G36" s="140"/>
      <c r="H36" s="19"/>
      <c r="I36" s="52"/>
      <c r="J36" s="52"/>
      <c r="K36" s="52"/>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52"/>
      <c r="AO36" s="52"/>
      <c r="AP36" s="52"/>
      <c r="AQ36" s="52"/>
      <c r="AR36" s="52"/>
      <c r="AS36" s="52"/>
      <c r="AT36" s="52"/>
      <c r="AU36" s="52"/>
      <c r="AV36" s="52"/>
      <c r="AW36" s="52"/>
      <c r="AX36" s="52"/>
      <c r="AY36" s="52"/>
      <c r="AZ36" s="52"/>
      <c r="BA36" s="52"/>
      <c r="BB36" s="52"/>
      <c r="BC36" s="52"/>
      <c r="BD36" s="52"/>
      <c r="BE36" s="52"/>
      <c r="BF36" s="52"/>
      <c r="BG36" s="52"/>
      <c r="BH36" s="52"/>
      <c r="BI36" s="52"/>
      <c r="BJ36" s="52"/>
      <c r="BK36" s="52"/>
      <c r="BL36" s="52"/>
      <c r="BM36" s="24"/>
    </row>
    <row r="37" spans="1:65" ht="30" customHeight="1" x14ac:dyDescent="0.25">
      <c r="B37" s="133" t="s">
        <v>3</v>
      </c>
      <c r="C37" s="21"/>
      <c r="D37" s="21"/>
      <c r="E37" s="138"/>
      <c r="F37" s="139">
        <f>F34+3</f>
        <v>46119</v>
      </c>
      <c r="G37" s="140">
        <v>15</v>
      </c>
      <c r="H37" s="3"/>
    </row>
    <row r="38" spans="1:65" ht="30" customHeight="1" x14ac:dyDescent="0.25">
      <c r="B38" s="133" t="s">
        <v>4</v>
      </c>
      <c r="C38" s="21"/>
      <c r="D38" s="21"/>
      <c r="E38" s="138"/>
      <c r="F38" s="139">
        <f>F37+14</f>
        <v>46133</v>
      </c>
      <c r="G38" s="140">
        <v>5</v>
      </c>
    </row>
    <row r="39" spans="1:65" ht="30" customHeight="1" x14ac:dyDescent="0.25">
      <c r="B39" s="133" t="s">
        <v>0</v>
      </c>
      <c r="C39" s="21" t="s">
        <v>9</v>
      </c>
      <c r="D39" s="21"/>
      <c r="E39" s="138"/>
      <c r="F39" s="139">
        <f>F38+42</f>
        <v>46175</v>
      </c>
      <c r="G39" s="140">
        <v>1</v>
      </c>
    </row>
    <row r="40" spans="1:65" ht="30" customHeight="1" x14ac:dyDescent="0.25">
      <c r="B40" s="133" t="s">
        <v>1</v>
      </c>
      <c r="C40" s="21"/>
      <c r="D40" s="21"/>
      <c r="E40" s="138"/>
      <c r="F40" s="139"/>
      <c r="G40" s="140"/>
    </row>
    <row r="41" spans="1:65" ht="30" customHeight="1" x14ac:dyDescent="0.25">
      <c r="B41" s="133" t="s">
        <v>2</v>
      </c>
      <c r="C41" s="21"/>
      <c r="D41" s="21"/>
      <c r="E41" s="138"/>
      <c r="F41" s="139"/>
      <c r="G41" s="140"/>
    </row>
    <row r="42" spans="1:65" ht="30" customHeight="1" x14ac:dyDescent="0.25">
      <c r="B42" s="133"/>
      <c r="C42" s="21"/>
      <c r="D42" s="21"/>
      <c r="E42" s="138"/>
      <c r="F42" s="139"/>
      <c r="G42" s="140"/>
    </row>
    <row r="43" spans="1:65" ht="30" customHeight="1" x14ac:dyDescent="0.25">
      <c r="B43" s="141" t="s">
        <v>20</v>
      </c>
      <c r="C43" s="52"/>
      <c r="D43" s="52"/>
      <c r="E43" s="52"/>
      <c r="F43" s="142"/>
      <c r="G43" s="143"/>
    </row>
    <row r="44" spans="1:65" ht="30" customHeight="1" x14ac:dyDescent="0.25">
      <c r="D44" s="4"/>
      <c r="G44" s="11"/>
    </row>
    <row r="45" spans="1:65" ht="30" customHeight="1" x14ac:dyDescent="0.25">
      <c r="D45" s="5"/>
    </row>
  </sheetData>
  <mergeCells count="8">
    <mergeCell ref="X4:AA4"/>
    <mergeCell ref="AC4:AF4"/>
    <mergeCell ref="B2:H2"/>
    <mergeCell ref="I2:N2"/>
    <mergeCell ref="O2:T2"/>
    <mergeCell ref="I4:L4"/>
    <mergeCell ref="N4:Q4"/>
    <mergeCell ref="S4:V4"/>
  </mergeCells>
  <conditionalFormatting sqref="E9:E43">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48" priority="4">
      <formula>I$7&lt;=EOMONTH($I$7,0)</formula>
    </cfRule>
  </conditionalFormatting>
  <conditionalFormatting sqref="I6:BL6">
    <cfRule type="expression" dxfId="47" priority="2">
      <formula>AND(I$7&lt;=EOMONTH($I$7,1),I$7&gt;EOMONTH($I$7,0))</formula>
    </cfRule>
  </conditionalFormatting>
  <conditionalFormatting sqref="I7:BL10 I12:BL36 AG11:BL11">
    <cfRule type="expression" dxfId="46" priority="1">
      <formula>AND(TODAY()&gt;=I$7,TODAY()&lt;J$7)</formula>
    </cfRule>
  </conditionalFormatting>
  <conditionalFormatting sqref="I10:BL10 I12:BL15 AG11:BL11">
    <cfRule type="expression" dxfId="45" priority="7" stopIfTrue="1">
      <formula>AND($C10="Low Risk",I$7&gt;=$F10,I$7&lt;=$F10+$G10-1)</formula>
    </cfRule>
    <cfRule type="expression" dxfId="44" priority="8" stopIfTrue="1">
      <formula>AND($C10="High Risk",I$7&gt;=$F10,I$7&lt;=$F10+$G10-1)</formula>
    </cfRule>
    <cfRule type="expression" dxfId="43" priority="9" stopIfTrue="1">
      <formula>AND($C10="On Track",I$7&gt;=$F10,I$7&lt;=$F10+$G10-1)</formula>
    </cfRule>
    <cfRule type="expression" dxfId="42" priority="10" stopIfTrue="1">
      <formula>AND($C10="Med Risk",I$7&gt;=$F10,I$7&lt;=$F10+$G10-1)</formula>
    </cfRule>
    <cfRule type="expression" dxfId="41" priority="11" stopIfTrue="1">
      <formula>AND(LEN($C10)=0,I$7&gt;=$F10,I$7&lt;=$F10+$G10-1)</formula>
    </cfRule>
  </conditionalFormatting>
  <conditionalFormatting sqref="I36:BL36">
    <cfRule type="expression" dxfId="40" priority="13" stopIfTrue="1">
      <formula>AND(#REF!="Low Risk",I$7&gt;=#REF!,I$7&lt;=#REF!+#REF!-1)</formula>
    </cfRule>
    <cfRule type="expression" dxfId="39" priority="14" stopIfTrue="1">
      <formula>AND(#REF!="High Risk",I$7&gt;=#REF!,I$7&lt;=#REF!+#REF!-1)</formula>
    </cfRule>
    <cfRule type="expression" dxfId="38" priority="15" stopIfTrue="1">
      <formula>AND(#REF!="On Track",I$7&gt;=#REF!,I$7&lt;=#REF!+#REF!-1)</formula>
    </cfRule>
    <cfRule type="expression" dxfId="37" priority="16" stopIfTrue="1">
      <formula>AND(#REF!="Med Risk",I$7&gt;=#REF!,I$7&lt;=#REF!+#REF!-1)</formula>
    </cfRule>
    <cfRule type="expression" dxfId="36" priority="17" stopIfTrue="1">
      <formula>AND(LEN(#REF!)=0,I$7&gt;=#REF!,I$7&lt;=#REF!+#REF!-1)</formula>
    </cfRule>
  </conditionalFormatting>
  <conditionalFormatting sqref="J6:BL6">
    <cfRule type="expression" dxfId="35" priority="3">
      <formula>AND(J$7&lt;=EOMONTH($I$7,2),J$7&gt;EOMONTH($I$7,0),J$7&gt;EOMONTH($I$7,1))</formula>
    </cfRule>
  </conditionalFormatting>
  <conditionalFormatting sqref="I16:BL16">
    <cfRule type="expression" dxfId="34" priority="27" stopIfTrue="1">
      <formula>AND($C17="Low Risk",I$7&gt;=$F17,I$7&lt;=$F17+$G17-1)</formula>
    </cfRule>
    <cfRule type="expression" dxfId="33" priority="28" stopIfTrue="1">
      <formula>AND($C17="High Risk",I$7&gt;=$F17,I$7&lt;=$F17+$G17-1)</formula>
    </cfRule>
    <cfRule type="expression" dxfId="32" priority="29" stopIfTrue="1">
      <formula>AND($C17="On Track",I$7&gt;=$F17,I$7&lt;=$F17+$G17-1)</formula>
    </cfRule>
    <cfRule type="expression" dxfId="31" priority="30" stopIfTrue="1">
      <formula>AND($C17="Med Risk",I$7&gt;=$F17,I$7&lt;=$F17+$G17-1)</formula>
    </cfRule>
    <cfRule type="expression" dxfId="30" priority="31" stopIfTrue="1">
      <formula>AND(LEN($C17)=0,I$7&gt;=$F17,I$7&lt;=$F17+$G17-1)</formula>
    </cfRule>
  </conditionalFormatting>
  <conditionalFormatting sqref="I17:BL17">
    <cfRule type="expression" dxfId="29" priority="49" stopIfTrue="1">
      <formula>AND($C20="Low Risk",I$7&gt;=$F20,I$7&lt;=$F20+$G20-1)</formula>
    </cfRule>
    <cfRule type="expression" dxfId="28" priority="50" stopIfTrue="1">
      <formula>AND($C20="High Risk",I$7&gt;=$F20,I$7&lt;=$F20+$G20-1)</formula>
    </cfRule>
    <cfRule type="expression" dxfId="27" priority="51" stopIfTrue="1">
      <formula>AND($C20="On Track",I$7&gt;=$F20,I$7&lt;=$F20+$G20-1)</formula>
    </cfRule>
    <cfRule type="expression" dxfId="26" priority="52" stopIfTrue="1">
      <formula>AND($C20="Med Risk",I$7&gt;=$F20,I$7&lt;=$F20+$G20-1)</formula>
    </cfRule>
    <cfRule type="expression" dxfId="25" priority="53" stopIfTrue="1">
      <formula>AND(LEN($C20)=0,I$7&gt;=$F20,I$7&lt;=$F20+$G20-1)</formula>
    </cfRule>
  </conditionalFormatting>
  <conditionalFormatting sqref="I18:BL35">
    <cfRule type="expression" dxfId="24" priority="87" stopIfTrue="1">
      <formula>AND($C25="Low Risk",I$7&gt;=$F25,I$7&lt;=$F25+$G25-1)</formula>
    </cfRule>
    <cfRule type="expression" dxfId="23" priority="88" stopIfTrue="1">
      <formula>AND($C25="High Risk",I$7&gt;=$F25,I$7&lt;=$F25+$G25-1)</formula>
    </cfRule>
    <cfRule type="expression" dxfId="22" priority="89" stopIfTrue="1">
      <formula>AND($C25="On Track",I$7&gt;=$F25,I$7&lt;=$F25+$G25-1)</formula>
    </cfRule>
    <cfRule type="expression" dxfId="21" priority="90" stopIfTrue="1">
      <formula>AND($C25="Med Risk",I$7&gt;=$F25,I$7&lt;=$F25+$G25-1)</formula>
    </cfRule>
    <cfRule type="expression" dxfId="20" priority="91" stopIfTrue="1">
      <formula>AND(LEN($C25)=0,I$7&gt;=$F25,I$7&lt;=$F25+$G25-1)</formula>
    </cfRule>
  </conditionalFormatting>
  <conditionalFormatting sqref="H11:AE11">
    <cfRule type="expression" dxfId="19" priority="93">
      <formula>AND(TODAY()&gt;=I$7,TODAY()&lt;J$7)</formula>
    </cfRule>
  </conditionalFormatting>
  <conditionalFormatting sqref="H11:AE11">
    <cfRule type="expression" dxfId="18" priority="102" stopIfTrue="1">
      <formula>AND($C11="Low Risk",I$7&gt;=$F11,I$7&lt;=$F11+$G11-1)</formula>
    </cfRule>
    <cfRule type="expression" dxfId="17" priority="103" stopIfTrue="1">
      <formula>AND($C11="High Risk",I$7&gt;=$F11,I$7&lt;=$F11+$G11-1)</formula>
    </cfRule>
    <cfRule type="expression" dxfId="16" priority="104" stopIfTrue="1">
      <formula>AND($C11="On Track",I$7&gt;=$F11,I$7&lt;=$F11+$G11-1)</formula>
    </cfRule>
    <cfRule type="expression" dxfId="15" priority="105" stopIfTrue="1">
      <formula>AND($C11="Med Risk",I$7&gt;=$F11,I$7&lt;=$F11+$G11-1)</formula>
    </cfRule>
    <cfRule type="expression" dxfId="14" priority="106" stopIfTrue="1">
      <formula>AND(LEN($C11)=0,I$7&gt;=$F11,I$7&lt;=$F11+$G11-1)</formula>
    </cfRule>
  </conditionalFormatting>
  <dataValidations count="13">
    <dataValidation type="list" allowBlank="1" showInputMessage="1" sqref="C11" xr:uid="{DFFD23FF-9FE8-42D1-8B69-600D9BF05AA3}">
      <formula1>"Goal,Milestone,On Track, Low Risk, Med Risk, High Risk"</formula1>
    </dataValidation>
    <dataValidation type="list" allowBlank="1" showInputMessage="1" showErrorMessage="1" sqref="C10 C12:C42"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35" xr:uid="{16EF2781-8358-4BE0-BED4-7AAF228778DA}"/>
    <dataValidation allowBlank="1" showInputMessage="1" showErrorMessage="1" prompt="This row marks the end of the Gantt milestone data. DO NOT enter anything in this row. _x000a_To add more items, insert new rows above this one._x000a_" sqref="A36"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E9:E43</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I10:BL10 I12:BL15 AG11:BL11</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 xmlns:xm="http://schemas.microsoft.com/office/excel/2006/main">
          <x14:cfRule type="iconSet" priority="2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I16:BL16</xm:sqref>
        </x14:conditionalFormatting>
        <x14:conditionalFormatting xmlns:xm="http://schemas.microsoft.com/office/excel/2006/main">
          <x14:cfRule type="iconSet" priority="48"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8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I18:BL35</xm:sqref>
        </x14:conditionalFormatting>
        <x14:conditionalFormatting xmlns:xm="http://schemas.microsoft.com/office/excel/2006/main">
          <x14:cfRule type="iconSet" priority="101"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H11:AE11</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tabSelected="1" showRuler="0" topLeftCell="A3" zoomScaleNormal="100" zoomScalePageLayoutView="70" workbookViewId="0">
      <selection activeCell="G13" sqref="G13"/>
    </sheetView>
  </sheetViews>
  <sheetFormatPr defaultColWidth="8.85546875" defaultRowHeight="30" customHeight="1" x14ac:dyDescent="0.25"/>
  <cols>
    <col min="1" max="1" width="4.7109375" style="9" customWidth="1"/>
    <col min="2" max="2" width="30.7109375" customWidth="1"/>
    <col min="3" max="3" width="13.28515625" bestFit="1"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0" t="s">
        <v>5</v>
      </c>
      <c r="C2" s="130"/>
      <c r="D2" s="130"/>
      <c r="E2" s="130"/>
      <c r="F2" s="130"/>
      <c r="G2" s="130"/>
      <c r="H2" s="130"/>
      <c r="I2" s="131"/>
      <c r="J2" s="131"/>
      <c r="K2" s="131"/>
      <c r="L2" s="131"/>
      <c r="M2" s="131"/>
      <c r="N2" s="131"/>
      <c r="O2" s="132"/>
      <c r="P2" s="132"/>
      <c r="Q2" s="132"/>
      <c r="R2" s="132"/>
      <c r="S2" s="132"/>
      <c r="T2" s="132"/>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row>
    <row r="3" spans="1:68" ht="19.899999999999999" customHeight="1" x14ac:dyDescent="0.25">
      <c r="A3" s="10"/>
      <c r="B3" s="62"/>
      <c r="C3" s="63"/>
      <c r="D3" s="64"/>
      <c r="E3" s="64"/>
      <c r="F3" s="65"/>
      <c r="G3" s="64"/>
      <c r="H3" s="64"/>
      <c r="I3" s="78"/>
      <c r="J3" s="1"/>
      <c r="K3" s="1"/>
      <c r="L3" s="1"/>
    </row>
    <row r="4" spans="1:68" ht="30" customHeight="1" x14ac:dyDescent="0.25">
      <c r="A4" s="10"/>
      <c r="B4" s="66" t="s">
        <v>36</v>
      </c>
      <c r="C4" s="67"/>
      <c r="D4" s="68"/>
      <c r="E4" s="69"/>
      <c r="F4" s="70"/>
      <c r="G4" s="71" t="s">
        <v>18</v>
      </c>
      <c r="H4" s="69"/>
      <c r="I4" s="123" t="s">
        <v>26</v>
      </c>
      <c r="J4" s="123"/>
      <c r="K4" s="123"/>
      <c r="L4" s="123"/>
      <c r="N4" s="124" t="s">
        <v>27</v>
      </c>
      <c r="O4" s="124"/>
      <c r="P4" s="124"/>
      <c r="Q4" s="124"/>
      <c r="S4" s="125" t="s">
        <v>28</v>
      </c>
      <c r="T4" s="125"/>
      <c r="U4" s="125"/>
      <c r="V4" s="125"/>
      <c r="X4" s="118" t="s">
        <v>29</v>
      </c>
      <c r="Y4" s="118"/>
      <c r="Z4" s="118"/>
      <c r="AA4" s="118"/>
      <c r="AC4" s="119" t="s">
        <v>19</v>
      </c>
      <c r="AD4" s="119"/>
      <c r="AE4" s="119"/>
      <c r="AF4" s="119"/>
    </row>
    <row r="5" spans="1:68" ht="30" customHeight="1" x14ac:dyDescent="0.25">
      <c r="A5" s="10"/>
      <c r="B5" s="72" t="s">
        <v>21</v>
      </c>
      <c r="C5" s="68"/>
      <c r="D5" s="68"/>
      <c r="E5" s="69"/>
      <c r="F5" s="70"/>
      <c r="G5" s="69"/>
      <c r="H5" s="69"/>
    </row>
    <row r="6" spans="1:68" ht="30" customHeight="1" x14ac:dyDescent="0.3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2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2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25">
      <c r="A9" s="10"/>
      <c r="B9" s="114" t="s">
        <v>23</v>
      </c>
      <c r="C9" s="115" t="s">
        <v>7</v>
      </c>
      <c r="D9" s="115" t="s">
        <v>24</v>
      </c>
      <c r="E9" s="115" t="s">
        <v>10</v>
      </c>
      <c r="F9" s="115" t="s">
        <v>11</v>
      </c>
      <c r="G9" s="115" t="s">
        <v>25</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3">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25">
      <c r="A11" s="10"/>
      <c r="B11" s="144" t="s">
        <v>38</v>
      </c>
      <c r="C11" s="53"/>
      <c r="D11" s="53"/>
      <c r="E11" s="54"/>
      <c r="F11" s="55">
        <v>46078</v>
      </c>
      <c r="G11" s="56">
        <v>25</v>
      </c>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25">
      <c r="A12" s="10"/>
      <c r="B12" s="146" t="s">
        <v>39</v>
      </c>
      <c r="C12" s="53" t="s">
        <v>8</v>
      </c>
      <c r="D12" s="53" t="s">
        <v>6</v>
      </c>
      <c r="E12" s="54">
        <v>0.25</v>
      </c>
      <c r="F12" s="55">
        <f ca="1">TODAY()</f>
        <v>46113</v>
      </c>
      <c r="G12" s="56">
        <v>3</v>
      </c>
      <c r="H12" s="53"/>
      <c r="I12" s="22" t="str">
        <f ca="1">IF(AND($C12="Goal",I$7&gt;=$F12,I$7&lt;=$F12+$G12-1),2,IF(AND($C12="Milestone",I$7&gt;=$F12,I$7&lt;=$F12+$G12-1),1,""))</f>
        <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f t="shared" ca="1" si="6"/>
        <v>2</v>
      </c>
      <c r="AS12" s="22">
        <f t="shared" ca="1" si="6"/>
        <v>2</v>
      </c>
      <c r="AT12" s="22">
        <f t="shared" ca="1" si="6"/>
        <v>2</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25">
      <c r="A13" s="10"/>
      <c r="B13" s="146" t="s">
        <v>41</v>
      </c>
      <c r="C13" s="53" t="s">
        <v>13</v>
      </c>
      <c r="D13" s="145" t="s">
        <v>40</v>
      </c>
      <c r="E13" s="54"/>
      <c r="F13" s="55">
        <v>46078</v>
      </c>
      <c r="G13" s="56">
        <v>1</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25">
      <c r="A14" s="9"/>
      <c r="B14" s="146" t="s">
        <v>51</v>
      </c>
      <c r="C14" s="145" t="s">
        <v>15</v>
      </c>
      <c r="D14" s="145" t="s">
        <v>40</v>
      </c>
      <c r="E14" s="54">
        <v>0.5</v>
      </c>
      <c r="F14" s="55">
        <v>46078</v>
      </c>
      <c r="G14" s="56">
        <v>1</v>
      </c>
      <c r="H14" s="53"/>
      <c r="I14" s="22" t="str">
        <f t="shared" ca="1" si="8"/>
        <v/>
      </c>
      <c r="J14" s="22" t="str">
        <f t="shared" ca="1" si="4"/>
        <v/>
      </c>
      <c r="K14" s="22" t="str">
        <f t="shared" ca="1" si="4"/>
        <v/>
      </c>
      <c r="L14" s="22" t="str">
        <f t="shared" ca="1" si="4"/>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25">
      <c r="A15" s="9"/>
      <c r="B15" s="146" t="s">
        <v>42</v>
      </c>
      <c r="C15" s="145" t="s">
        <v>15</v>
      </c>
      <c r="D15" s="145" t="s">
        <v>40</v>
      </c>
      <c r="E15" s="54"/>
      <c r="F15" s="55">
        <v>46078</v>
      </c>
      <c r="G15" s="56">
        <v>1</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25">
      <c r="A16" s="9"/>
      <c r="B16" s="146" t="s">
        <v>55</v>
      </c>
      <c r="C16" s="145" t="s">
        <v>15</v>
      </c>
      <c r="D16" s="145" t="s">
        <v>40</v>
      </c>
      <c r="E16" s="54">
        <v>0.1</v>
      </c>
      <c r="F16" s="55">
        <v>46085</v>
      </c>
      <c r="G16" s="56">
        <v>1</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25">
      <c r="A17" s="10"/>
      <c r="B17" s="110" t="s">
        <v>30</v>
      </c>
      <c r="C17" s="53"/>
      <c r="D17" s="53"/>
      <c r="E17" s="54"/>
      <c r="F17" s="55"/>
      <c r="G17" s="56">
        <v>0</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25">
      <c r="A18" s="10"/>
      <c r="B18" s="57" t="s">
        <v>3</v>
      </c>
      <c r="C18" s="53" t="s">
        <v>15</v>
      </c>
      <c r="D18" s="53"/>
      <c r="E18" s="54">
        <v>0.6</v>
      </c>
      <c r="F18" s="55">
        <f ca="1">F12+6</f>
        <v>46119</v>
      </c>
      <c r="G18" s="56">
        <v>13</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t="str">
        <f t="shared" ca="1" si="5"/>
        <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25">
      <c r="A19" s="9"/>
      <c r="B19" s="57" t="s">
        <v>4</v>
      </c>
      <c r="C19" s="53" t="s">
        <v>16</v>
      </c>
      <c r="D19" s="53"/>
      <c r="E19" s="54">
        <v>0.5</v>
      </c>
      <c r="F19" s="55">
        <f ca="1">F18+2</f>
        <v>46121</v>
      </c>
      <c r="G19" s="56">
        <v>9</v>
      </c>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25">
      <c r="A20" s="9"/>
      <c r="B20" s="57" t="s">
        <v>0</v>
      </c>
      <c r="C20" s="53" t="s">
        <v>14</v>
      </c>
      <c r="D20" s="53"/>
      <c r="E20" s="54">
        <v>0.33</v>
      </c>
      <c r="F20" s="55">
        <f ca="1">F19+5</f>
        <v>46126</v>
      </c>
      <c r="G20" s="56">
        <v>11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t="str">
        <f t="shared" ca="1" si="5"/>
        <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25">
      <c r="A21" s="9"/>
      <c r="B21" s="57" t="s">
        <v>1</v>
      </c>
      <c r="C21" s="53" t="s">
        <v>9</v>
      </c>
      <c r="D21" s="53"/>
      <c r="E21" s="54"/>
      <c r="F21" s="55">
        <f ca="1">F20+2</f>
        <v>46128</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t="str">
        <f t="shared" ca="1" si="5"/>
        <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f t="shared" ca="1" si="7"/>
        <v>1</v>
      </c>
      <c r="BH21" s="22" t="str">
        <f t="shared" ca="1" si="7"/>
        <v/>
      </c>
      <c r="BI21" s="22" t="str">
        <f t="shared" ca="1" si="7"/>
        <v/>
      </c>
      <c r="BJ21" s="22" t="str">
        <f t="shared" ca="1" si="7"/>
        <v/>
      </c>
      <c r="BK21" s="22" t="str">
        <f t="shared" ca="1" si="7"/>
        <v/>
      </c>
      <c r="BL21" s="22" t="str">
        <f t="shared" ca="1" si="7"/>
        <v/>
      </c>
    </row>
    <row r="22" spans="1:64" s="1" customFormat="1" ht="40.15" customHeight="1" x14ac:dyDescent="0.25">
      <c r="A22" s="9"/>
      <c r="B22" s="57" t="s">
        <v>2</v>
      </c>
      <c r="C22" s="53"/>
      <c r="D22" s="53"/>
      <c r="E22" s="54"/>
      <c r="F22" s="55">
        <f ca="1">F21+1</f>
        <v>46129</v>
      </c>
      <c r="G22" s="56">
        <v>24</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25">
      <c r="A23" s="9"/>
      <c r="B23" s="110" t="s">
        <v>31</v>
      </c>
      <c r="C23" s="53"/>
      <c r="D23" s="53"/>
      <c r="E23" s="54"/>
      <c r="F23" s="55"/>
      <c r="G23" s="56"/>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25">
      <c r="A24" s="9"/>
      <c r="B24" s="57" t="s">
        <v>3</v>
      </c>
      <c r="C24" s="53" t="s">
        <v>16</v>
      </c>
      <c r="D24" s="53"/>
      <c r="E24" s="54"/>
      <c r="F24" s="55">
        <f ca="1">F12+15</f>
        <v>46128</v>
      </c>
      <c r="G24" s="56">
        <v>4</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25">
      <c r="A25" s="9"/>
      <c r="B25" s="57" t="s">
        <v>4</v>
      </c>
      <c r="C25" s="53" t="s">
        <v>13</v>
      </c>
      <c r="D25" s="53"/>
      <c r="E25" s="54"/>
      <c r="F25" s="55">
        <f ca="1">F24+3</f>
        <v>46131</v>
      </c>
      <c r="G25" s="56">
        <v>14</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25">
      <c r="A26" s="9"/>
      <c r="B26" s="57" t="s">
        <v>0</v>
      </c>
      <c r="C26" s="53" t="s">
        <v>16</v>
      </c>
      <c r="D26" s="53"/>
      <c r="E26" s="54"/>
      <c r="F26" s="55">
        <f ca="1">F25+15</f>
        <v>46146</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25">
      <c r="A27" s="9"/>
      <c r="B27" s="57" t="s">
        <v>1</v>
      </c>
      <c r="C27" s="53" t="s">
        <v>8</v>
      </c>
      <c r="D27" s="53"/>
      <c r="E27" s="54"/>
      <c r="F27" s="55">
        <f ca="1">F21+22</f>
        <v>46150</v>
      </c>
      <c r="G27" s="56">
        <v>3</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25">
      <c r="A28" s="9"/>
      <c r="B28" s="57" t="s">
        <v>2</v>
      </c>
      <c r="C28" s="53" t="s">
        <v>14</v>
      </c>
      <c r="D28" s="53"/>
      <c r="E28" s="54"/>
      <c r="F28" s="55">
        <f>F16</f>
        <v>46085</v>
      </c>
      <c r="G28" s="56">
        <v>19</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25">
      <c r="A29" s="9"/>
      <c r="B29" s="110" t="s">
        <v>32</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25">
      <c r="A30" s="9"/>
      <c r="B30" s="57" t="s">
        <v>3</v>
      </c>
      <c r="C30" s="53"/>
      <c r="D30" s="53"/>
      <c r="E30" s="54"/>
      <c r="F30" s="55">
        <f ca="1">F27+3</f>
        <v>46153</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25">
      <c r="A31" s="9"/>
      <c r="B31" s="57" t="s">
        <v>4</v>
      </c>
      <c r="C31" s="53"/>
      <c r="D31" s="53"/>
      <c r="E31" s="54"/>
      <c r="F31" s="55">
        <f ca="1">F30+14</f>
        <v>46167</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25">
      <c r="A32" s="9"/>
      <c r="B32" s="57" t="s">
        <v>0</v>
      </c>
      <c r="C32" s="53" t="s">
        <v>9</v>
      </c>
      <c r="D32" s="53"/>
      <c r="E32" s="54"/>
      <c r="F32" s="55">
        <f ca="1">F31+42</f>
        <v>46209</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2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2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2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2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25">
      <c r="D37" s="4"/>
      <c r="G37" s="11"/>
      <c r="H37" s="3"/>
    </row>
    <row r="38" spans="1:65" ht="30" customHeight="1" x14ac:dyDescent="0.2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6">
    <cfRule type="expression" dxfId="11" priority="1">
      <formula>AND(TODAY()&gt;=I$7,TODAY()&lt;J$7)</formula>
    </cfRule>
  </conditionalFormatting>
  <conditionalFormatting sqref="I10:BL35">
    <cfRule type="expression" dxfId="10" priority="7" stopIfTrue="1">
      <formula>AND($C10="Low Risk",I$7&gt;=$F10,I$7&lt;=$F10+$G10-1)</formula>
    </cfRule>
    <cfRule type="expression" dxfId="9" priority="8" stopIfTrue="1">
      <formula>AND($C10="High Risk",I$7&gt;=$F10,I$7&lt;=$F10+$G10-1)</formula>
    </cfRule>
    <cfRule type="expression" dxfId="8" priority="9" stopIfTrue="1">
      <formula>AND($C10="On Track",I$7&gt;=$F10,I$7&lt;=$F10+$G10-1)</formula>
    </cfRule>
    <cfRule type="expression" dxfId="7" priority="10" stopIfTrue="1">
      <formula>AND($C10="Med Risk",I$7&gt;=$F10,I$7&lt;=$F10+$G10-1)</formula>
    </cfRule>
    <cfRule type="expression" dxfId="6" priority="11" stopIfTrue="1">
      <formula>AND(LEN($C10)=0,I$7&gt;=$F10,I$7&lt;=$F10+$G10-1)</formula>
    </cfRule>
  </conditionalFormatting>
  <conditionalFormatting sqref="I36:BL36">
    <cfRule type="expression" dxfId="5" priority="13" stopIfTrue="1">
      <formula>AND(#REF!="Low Risk",I$7&gt;=#REF!,I$7&lt;=#REF!+#REF!-1)</formula>
    </cfRule>
    <cfRule type="expression" dxfId="4" priority="14" stopIfTrue="1">
      <formula>AND(#REF!="High Risk",I$7&gt;=#REF!,I$7&lt;=#REF!+#REF!-1)</formula>
    </cfRule>
    <cfRule type="expression" dxfId="3" priority="15" stopIfTrue="1">
      <formula>AND(#REF!="On Track",I$7&gt;=#REF!,I$7&lt;=#REF!+#REF!-1)</formula>
    </cfRule>
    <cfRule type="expression" dxfId="2" priority="16" stopIfTrue="1">
      <formula>AND(#REF!="Med Risk",I$7&gt;=#REF!,I$7&lt;=#REF!+#REF!-1)</formula>
    </cfRule>
    <cfRule type="expression" dxfId="1" priority="17" stopIfTrue="1">
      <formula>AND(LEN(#REF!)=0,I$7&gt;=#REF!,I$7&lt;=#REF!+#REF!-1)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D2769B7C-BC43-4568-B602-4D878EEB531E}">
      <formula1>"Goal,Milestone,On Track, Low Risk, Med Risk, High Risk"</formula1>
    </dataValidation>
    <dataValidation type="list" allowBlank="1" showInputMessage="1" showErrorMessage="1" sqref="C10 C12:C35" xr:uid="{A8CFFA66-BA13-4963-ABE3-DD76F5716C76}">
      <formula1>"Goal,Milestone,On Track, Low Risk, Med Risk, High Risk"</formula1>
    </dataValidation>
    <dataValidation type="whole" operator="greaterThanOrEqual" allowBlank="1" showInputMessage="1" promptTitle="Scrolling Increment" prompt="Changing this number will scroll the Gantt Chart view." sqref="C7" xr:uid="{86087FA1-35BE-457A-912C-7FF26BCE687A}">
      <formula1>0</formula1>
    </dataValidation>
    <dataValidation allowBlank="1" showInputMessage="1" showErrorMessage="1" prompt="This is an empty row" sqref="A35" xr:uid="{008E5CA1-A949-4186-A5FB-74F6E9478170}"/>
    <dataValidation allowBlank="1" showInputMessage="1" showErrorMessage="1" prompt="This row marks the end of the Gantt milestone data. DO NOT enter anything in this row. _x000a_To add more items, insert new rows above this one._x000a_" sqref="A36" xr:uid="{CEB624D0-0F11-44F9-B89D-CE4F5F747510}"/>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6BCA7D1C-2B33-4267-B02B-4DBA8944EFBD}"/>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 Bar 1">
              <controlPr defaultSize="0" autoPict="0" altText="Scroll bar to scroll through the Ghantt project timeline.">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Props1.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2.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Worksheets</vt:lpstr>
      </vt:variant>
      <vt:variant>
        <vt:i4>4</vt:i4>
      </vt:variant>
      <vt:variant>
        <vt:lpstr>Named Ranges</vt:lpstr>
      </vt:variant>
      <vt:variant>
        <vt:i4>9</vt:i4>
      </vt:variant>
    </vt:vector>
  </HeadingPairs>
  <TitlesOfParts>
    <vt:vector size="13" baseType="lpstr">
      <vt:lpstr>About</vt:lpstr>
      <vt:lpstr>Light</vt:lpstr>
      <vt:lpstr>Dark</vt:lpstr>
      <vt:lpstr>Color</vt:lpstr>
      <vt:lpstr>Color!Print_Titles</vt:lpstr>
      <vt:lpstr>Dark!Print_Titles</vt:lpstr>
      <vt:lpstr>Light!Print_Titles</vt:lpstr>
      <vt:lpstr>Color!Project_Start</vt:lpstr>
      <vt:lpstr>Dark!Project_Start</vt:lpstr>
      <vt:lpstr>Light!Project_Start</vt:lpstr>
      <vt:lpstr>Color!Scrolling_Increment</vt:lpstr>
      <vt:lpstr>Dark!Scrolling_Increment</vt:lpstr>
      <vt:lpstr>Light!Scrolling_Increment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2026-03-31T22:33:36Z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